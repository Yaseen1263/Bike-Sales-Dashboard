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62E28CE5-C698-47C4-BB23-79F3845671B5}"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<sst xmlns="http://schemas.openxmlformats.org/spreadsheetml/2006/main" count="16272" uniqueCount="50">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</sst>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9"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43" fontId="0" fillId="0" borderId="0" xfId="42" applyFont="1"/>
    <xf numFmtId="169" fontId="0" fillId="0" borderId="0" xfId="0" applyNumberFormat="1"/>
    <xf numFmtId="0" fontId="0" fillId="0" borderId="0" xfId="0" applyNumberFormat="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66666.666666666672</c:v>
                </c:pt>
                <c:pt idx="1">
                  <c:v>22500</c:v>
                </c:pt>
              </c:numCache>
            </c:numRef>
          </c:val>
          <c:extLst>
            <c:ext xmlns:c16="http://schemas.microsoft.com/office/drawing/2014/chart" uri="{C3380CC4-5D6E-409C-BE32-E72D297353CC}">
              <c16:uniqueId val="{00000000-E8A6-428F-9EB7-7DB278E71BF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35000</c:v>
                </c:pt>
                <c:pt idx="1">
                  <c:v>33333.333333333336</c:v>
                </c:pt>
              </c:numCache>
            </c:numRef>
          </c:val>
          <c:extLst>
            <c:ext xmlns:c16="http://schemas.microsoft.com/office/drawing/2014/chart" uri="{C3380CC4-5D6E-409C-BE32-E72D297353CC}">
              <c16:uniqueId val="{00000001-E8A6-428F-9EB7-7DB278E71BF2}"/>
            </c:ext>
          </c:extLst>
        </c:ser>
        <c:dLbls>
          <c:dLblPos val="outEnd"/>
          <c:showLegendKey val="0"/>
          <c:showVal val="0"/>
          <c:showCatName val="0"/>
          <c:showSerName val="0"/>
          <c:showPercent val="0"/>
          <c:showBubbleSize val="0"/>
        </c:dLbls>
        <c:gapWidth val="219"/>
        <c:overlap val="-27"/>
        <c:axId val="809859567"/>
        <c:axId val="809863407"/>
      </c:barChart>
      <c:catAx>
        <c:axId val="80985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863407"/>
        <c:crosses val="autoZero"/>
        <c:auto val="1"/>
        <c:lblAlgn val="ctr"/>
        <c:lblOffset val="100"/>
        <c:noMultiLvlLbl val="0"/>
      </c:catAx>
      <c:valAx>
        <c:axId val="809863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8595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0-1 Miles</c:v>
                </c:pt>
                <c:pt idx="1">
                  <c:v>1-2 Miles</c:v>
                </c:pt>
                <c:pt idx="2">
                  <c:v>2-5 Miles</c:v>
                </c:pt>
                <c:pt idx="3">
                  <c:v>10 Miles +</c:v>
                </c:pt>
              </c:strCache>
            </c:strRef>
          </c:cat>
          <c:val>
            <c:numRef>
              <c:f>'Pivot Table'!$B$22:$B$26</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A1A3-421A-90F2-5CE4E84F871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0-1 Miles</c:v>
                </c:pt>
                <c:pt idx="1">
                  <c:v>1-2 Miles</c:v>
                </c:pt>
                <c:pt idx="2">
                  <c:v>2-5 Miles</c:v>
                </c:pt>
                <c:pt idx="3">
                  <c:v>10 Miles +</c:v>
                </c:pt>
              </c:strCache>
            </c:strRef>
          </c:cat>
          <c:val>
            <c:numRef>
              <c:f>'Pivot Table'!$C$22:$C$26</c:f>
              <c:numCache>
                <c:formatCode>General</c:formatCode>
                <c:ptCount val="4"/>
                <c:pt idx="0">
                  <c:v>11</c:v>
                </c:pt>
                <c:pt idx="1">
                  <c:v>2</c:v>
                </c:pt>
              </c:numCache>
            </c:numRef>
          </c:val>
          <c:smooth val="0"/>
          <c:extLst>
            <c:ext xmlns:c16="http://schemas.microsoft.com/office/drawing/2014/chart" uri="{C3380CC4-5D6E-409C-BE32-E72D297353CC}">
              <c16:uniqueId val="{00000001-A1A3-421A-90F2-5CE4E84F8714}"/>
            </c:ext>
          </c:extLst>
        </c:ser>
        <c:dLbls>
          <c:showLegendKey val="0"/>
          <c:showVal val="0"/>
          <c:showCatName val="0"/>
          <c:showSerName val="0"/>
          <c:showPercent val="0"/>
          <c:showBubbleSize val="0"/>
        </c:dLbls>
        <c:smooth val="0"/>
        <c:axId val="673382063"/>
        <c:axId val="673383023"/>
      </c:lineChart>
      <c:catAx>
        <c:axId val="673382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layout>
            <c:manualLayout>
              <c:xMode val="edge"/>
              <c:yMode val="edge"/>
              <c:x val="0.36409601924759405"/>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383023"/>
        <c:crosses val="autoZero"/>
        <c:auto val="1"/>
        <c:lblAlgn val="ctr"/>
        <c:lblOffset val="100"/>
        <c:noMultiLvlLbl val="0"/>
      </c:catAx>
      <c:valAx>
        <c:axId val="67338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38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c:v>
                </c:pt>
                <c:pt idx="1">
                  <c:v>Old</c:v>
                </c:pt>
              </c:strCache>
            </c:strRef>
          </c:cat>
          <c:val>
            <c:numRef>
              <c:f>'Pivot Table'!$B$43:$B$45</c:f>
              <c:numCache>
                <c:formatCode>General</c:formatCode>
                <c:ptCount val="2"/>
                <c:pt idx="0">
                  <c:v>2</c:v>
                </c:pt>
                <c:pt idx="1">
                  <c:v>5</c:v>
                </c:pt>
              </c:numCache>
            </c:numRef>
          </c:val>
          <c:smooth val="0"/>
          <c:extLst>
            <c:ext xmlns:c16="http://schemas.microsoft.com/office/drawing/2014/chart" uri="{C3380CC4-5D6E-409C-BE32-E72D297353CC}">
              <c16:uniqueId val="{00000000-929F-40CB-96B2-8BAF17100FFA}"/>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c:v>
                </c:pt>
                <c:pt idx="1">
                  <c:v>Old</c:v>
                </c:pt>
              </c:strCache>
            </c:strRef>
          </c:cat>
          <c:val>
            <c:numRef>
              <c:f>'Pivot Table'!$C$43:$C$45</c:f>
              <c:numCache>
                <c:formatCode>General</c:formatCode>
                <c:ptCount val="2"/>
                <c:pt idx="0">
                  <c:v>12</c:v>
                </c:pt>
                <c:pt idx="1">
                  <c:v>1</c:v>
                </c:pt>
              </c:numCache>
            </c:numRef>
          </c:val>
          <c:smooth val="0"/>
          <c:extLst>
            <c:ext xmlns:c16="http://schemas.microsoft.com/office/drawing/2014/chart" uri="{C3380CC4-5D6E-409C-BE32-E72D297353CC}">
              <c16:uniqueId val="{00000001-929F-40CB-96B2-8BAF17100FFA}"/>
            </c:ext>
          </c:extLst>
        </c:ser>
        <c:dLbls>
          <c:showLegendKey val="0"/>
          <c:showVal val="0"/>
          <c:showCatName val="0"/>
          <c:showSerName val="0"/>
          <c:showPercent val="0"/>
          <c:showBubbleSize val="0"/>
        </c:dLbls>
        <c:marker val="1"/>
        <c:smooth val="0"/>
        <c:axId val="900143631"/>
        <c:axId val="900144111"/>
      </c:lineChart>
      <c:catAx>
        <c:axId val="900143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Age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144111"/>
        <c:crosses val="autoZero"/>
        <c:auto val="1"/>
        <c:lblAlgn val="ctr"/>
        <c:lblOffset val="100"/>
        <c:noMultiLvlLbl val="0"/>
      </c:catAx>
      <c:valAx>
        <c:axId val="90014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1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 Dataset.xlsx]Pivot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Table'!$A$60:$A$73</c:f>
              <c:strCache>
                <c:ptCount val="13"/>
                <c:pt idx="0">
                  <c:v>36</c:v>
                </c:pt>
                <c:pt idx="1">
                  <c:v>37</c:v>
                </c:pt>
                <c:pt idx="2">
                  <c:v>38</c:v>
                </c:pt>
                <c:pt idx="3">
                  <c:v>39</c:v>
                </c:pt>
                <c:pt idx="4">
                  <c:v>40</c:v>
                </c:pt>
                <c:pt idx="5">
                  <c:v>46</c:v>
                </c:pt>
                <c:pt idx="6">
                  <c:v>47</c:v>
                </c:pt>
                <c:pt idx="7">
                  <c:v>48</c:v>
                </c:pt>
                <c:pt idx="8">
                  <c:v>51</c:v>
                </c:pt>
                <c:pt idx="9">
                  <c:v>53</c:v>
                </c:pt>
                <c:pt idx="10">
                  <c:v>62</c:v>
                </c:pt>
                <c:pt idx="11">
                  <c:v>63</c:v>
                </c:pt>
                <c:pt idx="12">
                  <c:v>68</c:v>
                </c:pt>
              </c:strCache>
            </c:strRef>
          </c:cat>
          <c:val>
            <c:numRef>
              <c:f>'Pivot Table'!$B$60:$B$73</c:f>
              <c:numCache>
                <c:formatCode>General</c:formatCode>
                <c:ptCount val="13"/>
                <c:pt idx="3">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0-48FC-4AF2-8F5C-CDDA073C368E}"/>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Table'!$A$60:$A$73</c:f>
              <c:strCache>
                <c:ptCount val="13"/>
                <c:pt idx="0">
                  <c:v>36</c:v>
                </c:pt>
                <c:pt idx="1">
                  <c:v>37</c:v>
                </c:pt>
                <c:pt idx="2">
                  <c:v>38</c:v>
                </c:pt>
                <c:pt idx="3">
                  <c:v>39</c:v>
                </c:pt>
                <c:pt idx="4">
                  <c:v>40</c:v>
                </c:pt>
                <c:pt idx="5">
                  <c:v>46</c:v>
                </c:pt>
                <c:pt idx="6">
                  <c:v>47</c:v>
                </c:pt>
                <c:pt idx="7">
                  <c:v>48</c:v>
                </c:pt>
                <c:pt idx="8">
                  <c:v>51</c:v>
                </c:pt>
                <c:pt idx="9">
                  <c:v>53</c:v>
                </c:pt>
                <c:pt idx="10">
                  <c:v>62</c:v>
                </c:pt>
                <c:pt idx="11">
                  <c:v>63</c:v>
                </c:pt>
                <c:pt idx="12">
                  <c:v>68</c:v>
                </c:pt>
              </c:strCache>
            </c:strRef>
          </c:cat>
          <c:val>
            <c:numRef>
              <c:f>'Pivot Table'!$C$60:$C$73</c:f>
              <c:numCache>
                <c:formatCode>General</c:formatCode>
                <c:ptCount val="13"/>
                <c:pt idx="0">
                  <c:v>1</c:v>
                </c:pt>
                <c:pt idx="1">
                  <c:v>1</c:v>
                </c:pt>
                <c:pt idx="2">
                  <c:v>3</c:v>
                </c:pt>
                <c:pt idx="3">
                  <c:v>4</c:v>
                </c:pt>
                <c:pt idx="4">
                  <c:v>1</c:v>
                </c:pt>
                <c:pt idx="5">
                  <c:v>1</c:v>
                </c:pt>
                <c:pt idx="6">
                  <c:v>1</c:v>
                </c:pt>
                <c:pt idx="10">
                  <c:v>1</c:v>
                </c:pt>
              </c:numCache>
            </c:numRef>
          </c:val>
          <c:smooth val="0"/>
          <c:extLst>
            <c:ext xmlns:c16="http://schemas.microsoft.com/office/drawing/2014/chart" uri="{C3380CC4-5D6E-409C-BE32-E72D297353CC}">
              <c16:uniqueId val="{00000001-48FC-4AF2-8F5C-CDDA073C368E}"/>
            </c:ext>
          </c:extLst>
        </c:ser>
        <c:dLbls>
          <c:showLegendKey val="0"/>
          <c:showVal val="0"/>
          <c:showCatName val="0"/>
          <c:showSerName val="0"/>
          <c:showPercent val="0"/>
          <c:showBubbleSize val="0"/>
        </c:dLbls>
        <c:marker val="1"/>
        <c:smooth val="0"/>
        <c:axId val="900153711"/>
        <c:axId val="900154671"/>
      </c:lineChart>
      <c:catAx>
        <c:axId val="90015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154671"/>
        <c:crosses val="autoZero"/>
        <c:auto val="1"/>
        <c:lblAlgn val="ctr"/>
        <c:lblOffset val="100"/>
        <c:noMultiLvlLbl val="0"/>
      </c:catAx>
      <c:valAx>
        <c:axId val="90015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15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66666.666666666672</c:v>
                </c:pt>
                <c:pt idx="1">
                  <c:v>22500</c:v>
                </c:pt>
              </c:numCache>
            </c:numRef>
          </c:val>
          <c:extLst>
            <c:ext xmlns:c16="http://schemas.microsoft.com/office/drawing/2014/chart" uri="{C3380CC4-5D6E-409C-BE32-E72D297353CC}">
              <c16:uniqueId val="{00000000-9483-4E28-8E5A-F1B291100EA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35000</c:v>
                </c:pt>
                <c:pt idx="1">
                  <c:v>33333.333333333336</c:v>
                </c:pt>
              </c:numCache>
            </c:numRef>
          </c:val>
          <c:extLst>
            <c:ext xmlns:c16="http://schemas.microsoft.com/office/drawing/2014/chart" uri="{C3380CC4-5D6E-409C-BE32-E72D297353CC}">
              <c16:uniqueId val="{00000001-9483-4E28-8E5A-F1B291100EA9}"/>
            </c:ext>
          </c:extLst>
        </c:ser>
        <c:dLbls>
          <c:showLegendKey val="0"/>
          <c:showVal val="0"/>
          <c:showCatName val="0"/>
          <c:showSerName val="0"/>
          <c:showPercent val="0"/>
          <c:showBubbleSize val="0"/>
        </c:dLbls>
        <c:gapWidth val="219"/>
        <c:overlap val="-27"/>
        <c:axId val="809859567"/>
        <c:axId val="809863407"/>
      </c:barChart>
      <c:catAx>
        <c:axId val="80985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863407"/>
        <c:crosses val="autoZero"/>
        <c:auto val="1"/>
        <c:lblAlgn val="ctr"/>
        <c:lblOffset val="100"/>
        <c:noMultiLvlLbl val="0"/>
      </c:catAx>
      <c:valAx>
        <c:axId val="809863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8595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Table'!$A$22:$A$26</c:f>
              <c:strCache>
                <c:ptCount val="4"/>
                <c:pt idx="0">
                  <c:v>0-1 Miles</c:v>
                </c:pt>
                <c:pt idx="1">
                  <c:v>1-2 Miles</c:v>
                </c:pt>
                <c:pt idx="2">
                  <c:v>2-5 Miles</c:v>
                </c:pt>
                <c:pt idx="3">
                  <c:v>10 Miles +</c:v>
                </c:pt>
              </c:strCache>
            </c:strRef>
          </c:cat>
          <c:val>
            <c:numRef>
              <c:f>'Pivot Table'!$B$22:$B$26</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4372-4BFB-A694-5B6955DA5A62}"/>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Table'!$A$22:$A$26</c:f>
              <c:strCache>
                <c:ptCount val="4"/>
                <c:pt idx="0">
                  <c:v>0-1 Miles</c:v>
                </c:pt>
                <c:pt idx="1">
                  <c:v>1-2 Miles</c:v>
                </c:pt>
                <c:pt idx="2">
                  <c:v>2-5 Miles</c:v>
                </c:pt>
                <c:pt idx="3">
                  <c:v>10 Miles +</c:v>
                </c:pt>
              </c:strCache>
            </c:strRef>
          </c:cat>
          <c:val>
            <c:numRef>
              <c:f>'Pivot Table'!$C$22:$C$26</c:f>
              <c:numCache>
                <c:formatCode>General</c:formatCode>
                <c:ptCount val="4"/>
                <c:pt idx="0">
                  <c:v>11</c:v>
                </c:pt>
                <c:pt idx="1">
                  <c:v>2</c:v>
                </c:pt>
              </c:numCache>
            </c:numRef>
          </c:val>
          <c:smooth val="0"/>
          <c:extLst>
            <c:ext xmlns:c16="http://schemas.microsoft.com/office/drawing/2014/chart" uri="{C3380CC4-5D6E-409C-BE32-E72D297353CC}">
              <c16:uniqueId val="{00000001-4372-4BFB-A694-5B6955DA5A62}"/>
            </c:ext>
          </c:extLst>
        </c:ser>
        <c:dLbls>
          <c:showLegendKey val="0"/>
          <c:showVal val="0"/>
          <c:showCatName val="0"/>
          <c:showSerName val="0"/>
          <c:showPercent val="0"/>
          <c:showBubbleSize val="0"/>
        </c:dLbls>
        <c:marker val="1"/>
        <c:smooth val="0"/>
        <c:axId val="673382063"/>
        <c:axId val="673383023"/>
      </c:lineChart>
      <c:catAx>
        <c:axId val="6733820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manualLayout>
              <c:xMode val="edge"/>
              <c:yMode val="edge"/>
              <c:x val="0.36409601924759405"/>
              <c:y val="0.8148862642169728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3383023"/>
        <c:crosses val="autoZero"/>
        <c:auto val="1"/>
        <c:lblAlgn val="ctr"/>
        <c:lblOffset val="100"/>
        <c:noMultiLvlLbl val="0"/>
      </c:catAx>
      <c:valAx>
        <c:axId val="67338302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338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c:v>
                </c:pt>
                <c:pt idx="1">
                  <c:v>Old</c:v>
                </c:pt>
              </c:strCache>
            </c:strRef>
          </c:cat>
          <c:val>
            <c:numRef>
              <c:f>'Pivot Table'!$B$43:$B$45</c:f>
              <c:numCache>
                <c:formatCode>General</c:formatCode>
                <c:ptCount val="2"/>
                <c:pt idx="0">
                  <c:v>2</c:v>
                </c:pt>
                <c:pt idx="1">
                  <c:v>5</c:v>
                </c:pt>
              </c:numCache>
            </c:numRef>
          </c:val>
          <c:smooth val="0"/>
          <c:extLst>
            <c:ext xmlns:c16="http://schemas.microsoft.com/office/drawing/2014/chart" uri="{C3380CC4-5D6E-409C-BE32-E72D297353CC}">
              <c16:uniqueId val="{00000000-A47E-4679-8AF5-915392D7D528}"/>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c:v>
                </c:pt>
                <c:pt idx="1">
                  <c:v>Old</c:v>
                </c:pt>
              </c:strCache>
            </c:strRef>
          </c:cat>
          <c:val>
            <c:numRef>
              <c:f>'Pivot Table'!$C$43:$C$45</c:f>
              <c:numCache>
                <c:formatCode>General</c:formatCode>
                <c:ptCount val="2"/>
                <c:pt idx="0">
                  <c:v>12</c:v>
                </c:pt>
                <c:pt idx="1">
                  <c:v>1</c:v>
                </c:pt>
              </c:numCache>
            </c:numRef>
          </c:val>
          <c:smooth val="0"/>
          <c:extLst>
            <c:ext xmlns:c16="http://schemas.microsoft.com/office/drawing/2014/chart" uri="{C3380CC4-5D6E-409C-BE32-E72D297353CC}">
              <c16:uniqueId val="{00000001-A47E-4679-8AF5-915392D7D528}"/>
            </c:ext>
          </c:extLst>
        </c:ser>
        <c:dLbls>
          <c:showLegendKey val="0"/>
          <c:showVal val="0"/>
          <c:showCatName val="0"/>
          <c:showSerName val="0"/>
          <c:showPercent val="0"/>
          <c:showBubbleSize val="0"/>
        </c:dLbls>
        <c:marker val="1"/>
        <c:smooth val="0"/>
        <c:axId val="900143631"/>
        <c:axId val="900144111"/>
      </c:lineChart>
      <c:catAx>
        <c:axId val="900143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Age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144111"/>
        <c:crosses val="autoZero"/>
        <c:auto val="1"/>
        <c:lblAlgn val="ctr"/>
        <c:lblOffset val="100"/>
        <c:noMultiLvlLbl val="0"/>
      </c:catAx>
      <c:valAx>
        <c:axId val="90014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1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595312</xdr:colOff>
      <xdr:row>1</xdr:row>
      <xdr:rowOff>14287</xdr:rowOff>
    </xdr:from>
    <xdr:to>
      <xdr:col>13</xdr:col>
      <xdr:colOff>19050</xdr:colOff>
      <xdr:row>16</xdr:row>
      <xdr:rowOff>9525</xdr:rowOff>
    </xdr:to>
    <xdr:graphicFrame macro="">
      <xdr:nvGraphicFramePr>
        <xdr:cNvPr id="2" name="Chart 1">
          <a:extLst>
            <a:ext uri="{FF2B5EF4-FFF2-40B4-BE49-F238E27FC236}">
              <a16:creationId xmlns:a16="http://schemas.microsoft.com/office/drawing/2014/main" id="{A663510C-7697-C167-A79B-87479A25B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576262</xdr:colOff>
      <xdr:row>19</xdr:row>
      <xdr:rowOff>42862</xdr:rowOff>
    </xdr:from>
    <xdr:to>
      <xdr:col>13</xdr:col>
      <xdr:colOff>271462</xdr:colOff>
      <xdr:row>33</xdr:row>
      <xdr:rowOff>119062</xdr:rowOff>
    </xdr:to>
    <xdr:graphicFrame macro="">
      <xdr:nvGraphicFramePr>
        <xdr:cNvPr id="3" name="Chart 2">
          <a:extLst>
            <a:ext uri="{FF2B5EF4-FFF2-40B4-BE49-F238E27FC236}">
              <a16:creationId xmlns:a16="http://schemas.microsoft.com/office/drawing/2014/main" id="{B10855FF-2A2A-F819-C4EE-84427056B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14287</xdr:colOff>
      <xdr:row>39</xdr:row>
      <xdr:rowOff>42862</xdr:rowOff>
    </xdr:from>
    <xdr:to>
      <xdr:col>12</xdr:col>
      <xdr:colOff>319087</xdr:colOff>
      <xdr:row>53</xdr:row>
      <xdr:rowOff>119062</xdr:rowOff>
    </xdr:to>
    <xdr:graphicFrame macro="">
      <xdr:nvGraphicFramePr>
        <xdr:cNvPr id="5" name="Chart 4">
          <a:extLst>
            <a:ext uri="{FF2B5EF4-FFF2-40B4-BE49-F238E27FC236}">
              <a16:creationId xmlns:a16="http://schemas.microsoft.com/office/drawing/2014/main" id="{7727B9E3-093F-43A0-BDCA-E0510602C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509587</xdr:colOff>
      <xdr:row>57</xdr:row>
      <xdr:rowOff>90487</xdr:rowOff>
    </xdr:from>
    <xdr:to>
      <xdr:col>12</xdr:col>
      <xdr:colOff>204787</xdr:colOff>
      <xdr:row>71</xdr:row>
      <xdr:rowOff>166687</xdr:rowOff>
    </xdr:to>
    <xdr:graphicFrame macro="">
      <xdr:nvGraphicFramePr>
        <xdr:cNvPr id="6" name="Chart 5">
          <a:extLst>
            <a:ext uri="{FF2B5EF4-FFF2-40B4-BE49-F238E27FC236}">
              <a16:creationId xmlns:a16="http://schemas.microsoft.com/office/drawing/2014/main" id="{87873B0C-EC64-4875-A273-2746F0C19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460957</xdr:colOff>
      <xdr:row>6</xdr:row>
      <xdr:rowOff>22413</xdr:rowOff>
    </xdr:from>
    <xdr:to>
      <xdr:col>8</xdr:col>
      <xdr:colOff>498730</xdr:colOff>
      <xdr:row>20</xdr:row>
      <xdr:rowOff>100911</xdr:rowOff>
    </xdr:to>
    <xdr:graphicFrame macro="">
      <xdr:nvGraphicFramePr>
        <xdr:cNvPr id="2" name="Chart 1">
          <a:extLst>
            <a:ext uri="{FF2B5EF4-FFF2-40B4-BE49-F238E27FC236}">
              <a16:creationId xmlns:a16="http://schemas.microsoft.com/office/drawing/2014/main" id="{D323D45E-F468-4526-9C6A-31E966273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468924</xdr:colOff>
      <xdr:row>20</xdr:row>
      <xdr:rowOff>175846</xdr:rowOff>
    </xdr:from>
    <xdr:to>
      <xdr:col>15</xdr:col>
      <xdr:colOff>13608</xdr:colOff>
      <xdr:row>35</xdr:row>
      <xdr:rowOff>49627</xdr:rowOff>
    </xdr:to>
    <xdr:graphicFrame macro="">
      <xdr:nvGraphicFramePr>
        <xdr:cNvPr id="3" name="Chart 2">
          <a:extLst>
            <a:ext uri="{FF2B5EF4-FFF2-40B4-BE49-F238E27FC236}">
              <a16:creationId xmlns:a16="http://schemas.microsoft.com/office/drawing/2014/main" id="{7EBF4AD9-72C4-4787-AAAD-C18F5B14E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430628</xdr:colOff>
      <xdr:row>6</xdr:row>
      <xdr:rowOff>22413</xdr:rowOff>
    </xdr:from>
    <xdr:to>
      <xdr:col>15</xdr:col>
      <xdr:colOff>13608</xdr:colOff>
      <xdr:row>20</xdr:row>
      <xdr:rowOff>108857</xdr:rowOff>
    </xdr:to>
    <xdr:graphicFrame macro="">
      <xdr:nvGraphicFramePr>
        <xdr:cNvPr id="4" name="Chart 3">
          <a:extLst>
            <a:ext uri="{FF2B5EF4-FFF2-40B4-BE49-F238E27FC236}">
              <a16:creationId xmlns:a16="http://schemas.microsoft.com/office/drawing/2014/main" id="{31614596-8A3B-4E42-BFCA-83B3F7FB5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22413</xdr:colOff>
      <xdr:row>6</xdr:row>
      <xdr:rowOff>0</xdr:rowOff>
    </xdr:from>
    <xdr:to>
      <xdr:col>2</xdr:col>
      <xdr:colOff>449036</xdr:colOff>
      <xdr:row>11</xdr:row>
      <xdr:rowOff>17318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E79B094-981F-CD62-5EA1-F17B26C97FA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2413" y="1143000"/>
              <a:ext cx="1638896" cy="969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63301</xdr:colOff>
      <xdr:row>17</xdr:row>
      <xdr:rowOff>109284</xdr:rowOff>
    </xdr:from>
    <xdr:to>
      <xdr:col>2</xdr:col>
      <xdr:colOff>465553</xdr:colOff>
      <xdr:row>26</xdr:row>
      <xdr:rowOff>115852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CBDEEDD-BF09-DCE7-4F54-3FC9CBE6C7D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3301" y="3347784"/>
              <a:ext cx="1614525" cy="17210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61280</xdr:colOff>
      <xdr:row>11</xdr:row>
      <xdr:rowOff>64454</xdr:rowOff>
    </xdr:from>
    <xdr:to>
      <xdr:col>2</xdr:col>
      <xdr:colOff>465123</xdr:colOff>
      <xdr:row>17</xdr:row>
      <xdr:rowOff>81262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58DA6E6-D051-A7C9-A393-C43C1A52F7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280" y="2159954"/>
              <a:ext cx="1616116" cy="1159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een" refreshedDate="45907.047384722224" createdVersion="8" refreshedVersion="8" minRefreshableVersion="3" recordCount="1000" xr:uid="{2E7CFC3C-2D4E-482A-8FA9-694B6BE6B7B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1881117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1"/>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1"/>
    <x v="1"/>
  </r>
  <r>
    <n v="12291"/>
    <x v="1"/>
    <x v="1"/>
    <n v="90000"/>
    <n v="5"/>
    <x v="1"/>
    <s v="Professional"/>
    <s v="No"/>
    <n v="2"/>
    <x v="1"/>
    <x v="0"/>
    <x v="24"/>
    <x v="1"/>
    <x v="1"/>
  </r>
  <r>
    <n v="28380"/>
    <x v="1"/>
    <x v="0"/>
    <n v="10000"/>
    <n v="5"/>
    <x v="3"/>
    <s v="Manual"/>
    <s v="No"/>
    <n v="2"/>
    <x v="0"/>
    <x v="0"/>
    <x v="3"/>
    <x v="0"/>
    <x v="0"/>
  </r>
  <r>
    <n v="17891"/>
    <x v="0"/>
    <x v="0"/>
    <n v="10000"/>
    <n v="2"/>
    <x v="1"/>
    <s v="Manual"/>
    <s v="Yes"/>
    <n v="1"/>
    <x v="0"/>
    <x v="0"/>
    <x v="5"/>
    <x v="1"/>
    <x v="1"/>
  </r>
  <r>
    <n v="27832"/>
    <x v="1"/>
    <x v="0"/>
    <n v="30000"/>
    <n v="0"/>
    <x v="1"/>
    <s v="Clerical"/>
    <s v="No"/>
    <n v="1"/>
    <x v="1"/>
    <x v="0"/>
    <x v="25"/>
    <x v="3"/>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1"/>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1"/>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3"/>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1"/>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1"/>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1"/>
    <x v="1"/>
  </r>
  <r>
    <n v="16514"/>
    <x v="1"/>
    <x v="1"/>
    <n v="10000"/>
    <n v="0"/>
    <x v="1"/>
    <s v="Manual"/>
    <s v="Yes"/>
    <n v="1"/>
    <x v="3"/>
    <x v="1"/>
    <x v="22"/>
    <x v="2"/>
    <x v="1"/>
  </r>
  <r>
    <n v="17191"/>
    <x v="1"/>
    <x v="1"/>
    <n v="130000"/>
    <n v="3"/>
    <x v="1"/>
    <s v="Professional"/>
    <s v="No"/>
    <n v="3"/>
    <x v="0"/>
    <x v="0"/>
    <x v="36"/>
    <x v="1"/>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3"/>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3"/>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3"/>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1"/>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1"/>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1"/>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1"/>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1"/>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1"/>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3"/>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1"/>
    <x v="1"/>
  </r>
  <r>
    <n v="18494"/>
    <x v="0"/>
    <x v="1"/>
    <n v="110000"/>
    <n v="5"/>
    <x v="0"/>
    <s v="Management"/>
    <s v="Yes"/>
    <n v="4"/>
    <x v="1"/>
    <x v="1"/>
    <x v="28"/>
    <x v="0"/>
    <x v="1"/>
  </r>
  <r>
    <n v="11249"/>
    <x v="0"/>
    <x v="0"/>
    <n v="130000"/>
    <n v="3"/>
    <x v="1"/>
    <s v="Professional"/>
    <s v="Yes"/>
    <n v="3"/>
    <x v="0"/>
    <x v="0"/>
    <x v="36"/>
    <x v="1"/>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1"/>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1"/>
    <x v="1"/>
  </r>
  <r>
    <n v="25665"/>
    <x v="1"/>
    <x v="0"/>
    <n v="20000"/>
    <n v="0"/>
    <x v="2"/>
    <s v="Manual"/>
    <s v="No"/>
    <n v="1"/>
    <x v="3"/>
    <x v="0"/>
    <x v="26"/>
    <x v="2"/>
    <x v="0"/>
  </r>
  <r>
    <n v="24061"/>
    <x v="0"/>
    <x v="1"/>
    <n v="10000"/>
    <n v="4"/>
    <x v="3"/>
    <s v="Manual"/>
    <s v="Yes"/>
    <n v="1"/>
    <x v="0"/>
    <x v="0"/>
    <x v="8"/>
    <x v="0"/>
    <x v="1"/>
  </r>
  <r>
    <n v="26879"/>
    <x v="1"/>
    <x v="0"/>
    <n v="20000"/>
    <n v="0"/>
    <x v="2"/>
    <s v="Manual"/>
    <s v="No"/>
    <n v="1"/>
    <x v="1"/>
    <x v="0"/>
    <x v="25"/>
    <x v="3"/>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3"/>
    <x v="0"/>
  </r>
  <r>
    <n v="11489"/>
    <x v="1"/>
    <x v="0"/>
    <n v="20000"/>
    <n v="0"/>
    <x v="3"/>
    <s v="Manual"/>
    <s v="No"/>
    <n v="2"/>
    <x v="3"/>
    <x v="0"/>
    <x v="11"/>
    <x v="0"/>
    <x v="1"/>
  </r>
  <r>
    <n v="18160"/>
    <x v="0"/>
    <x v="1"/>
    <n v="130000"/>
    <n v="3"/>
    <x v="2"/>
    <s v="Professional"/>
    <s v="Yes"/>
    <n v="4"/>
    <x v="2"/>
    <x v="0"/>
    <x v="36"/>
    <x v="1"/>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1"/>
    <x v="1"/>
  </r>
  <r>
    <n v="14554"/>
    <x v="0"/>
    <x v="1"/>
    <n v="20000"/>
    <n v="1"/>
    <x v="0"/>
    <s v="Clerical"/>
    <s v="Yes"/>
    <n v="0"/>
    <x v="0"/>
    <x v="0"/>
    <x v="29"/>
    <x v="1"/>
    <x v="0"/>
  </r>
  <r>
    <n v="16468"/>
    <x v="1"/>
    <x v="1"/>
    <n v="30000"/>
    <n v="0"/>
    <x v="1"/>
    <s v="Clerical"/>
    <s v="Yes"/>
    <n v="1"/>
    <x v="1"/>
    <x v="0"/>
    <x v="25"/>
    <x v="3"/>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1"/>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1"/>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1"/>
    <x v="1"/>
  </r>
  <r>
    <n v="22538"/>
    <x v="1"/>
    <x v="0"/>
    <n v="10000"/>
    <n v="0"/>
    <x v="3"/>
    <s v="Manual"/>
    <s v="Yes"/>
    <n v="2"/>
    <x v="3"/>
    <x v="0"/>
    <x v="6"/>
    <x v="0"/>
    <x v="0"/>
  </r>
  <r>
    <n v="12332"/>
    <x v="0"/>
    <x v="1"/>
    <n v="90000"/>
    <n v="4"/>
    <x v="2"/>
    <s v="Management"/>
    <s v="Yes"/>
    <n v="3"/>
    <x v="2"/>
    <x v="0"/>
    <x v="7"/>
    <x v="1"/>
    <x v="1"/>
  </r>
  <r>
    <n v="17230"/>
    <x v="0"/>
    <x v="1"/>
    <n v="80000"/>
    <n v="0"/>
    <x v="0"/>
    <s v="Professional"/>
    <s v="Yes"/>
    <n v="3"/>
    <x v="4"/>
    <x v="1"/>
    <x v="25"/>
    <x v="3"/>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1"/>
    <x v="1"/>
  </r>
  <r>
    <n v="25918"/>
    <x v="1"/>
    <x v="0"/>
    <n v="30000"/>
    <n v="2"/>
    <x v="1"/>
    <s v="Clerical"/>
    <s v="No"/>
    <n v="2"/>
    <x v="2"/>
    <x v="1"/>
    <x v="2"/>
    <x v="1"/>
    <x v="1"/>
  </r>
  <r>
    <n v="25752"/>
    <x v="1"/>
    <x v="0"/>
    <n v="20000"/>
    <n v="2"/>
    <x v="1"/>
    <s v="Manual"/>
    <s v="No"/>
    <n v="1"/>
    <x v="0"/>
    <x v="0"/>
    <x v="39"/>
    <x v="1"/>
    <x v="1"/>
  </r>
  <r>
    <n v="17324"/>
    <x v="0"/>
    <x v="0"/>
    <n v="100000"/>
    <n v="4"/>
    <x v="0"/>
    <s v="Professional"/>
    <s v="Yes"/>
    <n v="1"/>
    <x v="4"/>
    <x v="1"/>
    <x v="30"/>
    <x v="0"/>
    <x v="0"/>
  </r>
  <r>
    <n v="22918"/>
    <x v="1"/>
    <x v="1"/>
    <n v="80000"/>
    <n v="5"/>
    <x v="4"/>
    <s v="Management"/>
    <s v="Yes"/>
    <n v="3"/>
    <x v="0"/>
    <x v="1"/>
    <x v="5"/>
    <x v="1"/>
    <x v="0"/>
  </r>
  <r>
    <n v="12510"/>
    <x v="0"/>
    <x v="1"/>
    <n v="40000"/>
    <n v="1"/>
    <x v="0"/>
    <s v="Skilled Manual"/>
    <s v="Yes"/>
    <n v="1"/>
    <x v="0"/>
    <x v="0"/>
    <x v="1"/>
    <x v="0"/>
    <x v="1"/>
  </r>
  <r>
    <n v="25512"/>
    <x v="1"/>
    <x v="1"/>
    <n v="20000"/>
    <n v="0"/>
    <x v="2"/>
    <s v="Manual"/>
    <s v="No"/>
    <n v="1"/>
    <x v="1"/>
    <x v="0"/>
    <x v="25"/>
    <x v="3"/>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1"/>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3"/>
    <x v="1"/>
  </r>
  <r>
    <n v="22974"/>
    <x v="0"/>
    <x v="0"/>
    <n v="30000"/>
    <n v="2"/>
    <x v="1"/>
    <s v="Clerical"/>
    <s v="Yes"/>
    <n v="2"/>
    <x v="2"/>
    <x v="1"/>
    <x v="45"/>
    <x v="1"/>
    <x v="0"/>
  </r>
  <r>
    <n v="13586"/>
    <x v="0"/>
    <x v="1"/>
    <n v="80000"/>
    <n v="4"/>
    <x v="1"/>
    <s v="Professional"/>
    <s v="Yes"/>
    <n v="2"/>
    <x v="4"/>
    <x v="0"/>
    <x v="39"/>
    <x v="1"/>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1"/>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1"/>
    <x v="1"/>
  </r>
  <r>
    <n v="25792"/>
    <x v="1"/>
    <x v="0"/>
    <n v="110000"/>
    <n v="3"/>
    <x v="0"/>
    <s v="Management"/>
    <s v="Yes"/>
    <n v="4"/>
    <x v="4"/>
    <x v="0"/>
    <x v="39"/>
    <x v="1"/>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1"/>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1"/>
    <x v="1"/>
  </r>
  <r>
    <n v="18153"/>
    <x v="0"/>
    <x v="0"/>
    <n v="100000"/>
    <n v="2"/>
    <x v="0"/>
    <s v="Management"/>
    <s v="Yes"/>
    <n v="4"/>
    <x v="4"/>
    <x v="0"/>
    <x v="14"/>
    <x v="1"/>
    <x v="0"/>
  </r>
  <r>
    <n v="14547"/>
    <x v="0"/>
    <x v="1"/>
    <n v="10000"/>
    <n v="2"/>
    <x v="1"/>
    <s v="Manual"/>
    <s v="Yes"/>
    <n v="0"/>
    <x v="3"/>
    <x v="0"/>
    <x v="36"/>
    <x v="1"/>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1"/>
    <x v="1"/>
  </r>
  <r>
    <n v="29447"/>
    <x v="1"/>
    <x v="0"/>
    <n v="10000"/>
    <n v="2"/>
    <x v="0"/>
    <s v="Clerical"/>
    <s v="No"/>
    <n v="1"/>
    <x v="1"/>
    <x v="0"/>
    <x v="35"/>
    <x v="1"/>
    <x v="0"/>
  </r>
  <r>
    <n v="19784"/>
    <x v="0"/>
    <x v="0"/>
    <n v="80000"/>
    <n v="2"/>
    <x v="2"/>
    <s v="Skilled Manual"/>
    <s v="Yes"/>
    <n v="2"/>
    <x v="2"/>
    <x v="1"/>
    <x v="5"/>
    <x v="1"/>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1"/>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1"/>
    <x v="1"/>
  </r>
  <r>
    <n v="26385"/>
    <x v="1"/>
    <x v="1"/>
    <n v="120000"/>
    <n v="3"/>
    <x v="2"/>
    <s v="Professional"/>
    <s v="No"/>
    <n v="4"/>
    <x v="2"/>
    <x v="0"/>
    <x v="5"/>
    <x v="1"/>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1"/>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1"/>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1"/>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1"/>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1"/>
    <x v="0"/>
  </r>
  <r>
    <n v="20528"/>
    <x v="0"/>
    <x v="1"/>
    <n v="40000"/>
    <n v="2"/>
    <x v="3"/>
    <s v="Skilled Manual"/>
    <s v="Yes"/>
    <n v="2"/>
    <x v="1"/>
    <x v="2"/>
    <x v="10"/>
    <x v="1"/>
    <x v="0"/>
  </r>
  <r>
    <n v="23549"/>
    <x v="1"/>
    <x v="1"/>
    <n v="30000"/>
    <n v="0"/>
    <x v="2"/>
    <s v="Skilled Manual"/>
    <s v="Yes"/>
    <n v="2"/>
    <x v="2"/>
    <x v="2"/>
    <x v="25"/>
    <x v="3"/>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1"/>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1"/>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1"/>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3"/>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3"/>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3"/>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1"/>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1"/>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1"/>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3"/>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1"/>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1"/>
    <x v="1"/>
  </r>
  <r>
    <n v="12774"/>
    <x v="0"/>
    <x v="0"/>
    <n v="40000"/>
    <n v="1"/>
    <x v="1"/>
    <s v="Clerical"/>
    <s v="Yes"/>
    <n v="1"/>
    <x v="3"/>
    <x v="2"/>
    <x v="36"/>
    <x v="1"/>
    <x v="1"/>
  </r>
  <r>
    <n v="18910"/>
    <x v="1"/>
    <x v="1"/>
    <n v="30000"/>
    <n v="0"/>
    <x v="1"/>
    <s v="Skilled Manual"/>
    <s v="Yes"/>
    <n v="2"/>
    <x v="2"/>
    <x v="2"/>
    <x v="25"/>
    <x v="3"/>
    <x v="0"/>
  </r>
  <r>
    <n v="11699"/>
    <x v="1"/>
    <x v="1"/>
    <n v="60000"/>
    <n v="0"/>
    <x v="0"/>
    <s v="Skilled Manual"/>
    <s v="No"/>
    <n v="2"/>
    <x v="0"/>
    <x v="2"/>
    <x v="25"/>
    <x v="3"/>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3"/>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1"/>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3"/>
    <x v="0"/>
  </r>
  <r>
    <n v="14913"/>
    <x v="0"/>
    <x v="0"/>
    <n v="40000"/>
    <n v="1"/>
    <x v="1"/>
    <s v="Clerical"/>
    <s v="Yes"/>
    <n v="1"/>
    <x v="3"/>
    <x v="2"/>
    <x v="28"/>
    <x v="0"/>
    <x v="1"/>
  </r>
  <r>
    <n v="14077"/>
    <x v="1"/>
    <x v="1"/>
    <n v="30000"/>
    <n v="0"/>
    <x v="2"/>
    <s v="Skilled Manual"/>
    <s v="Yes"/>
    <n v="2"/>
    <x v="2"/>
    <x v="2"/>
    <x v="25"/>
    <x v="3"/>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1"/>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1"/>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1"/>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1"/>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1"/>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1"/>
    <x v="0"/>
  </r>
  <r>
    <n v="18363"/>
    <x v="0"/>
    <x v="1"/>
    <n v="40000"/>
    <n v="0"/>
    <x v="2"/>
    <s v="Skilled Manual"/>
    <s v="Yes"/>
    <n v="2"/>
    <x v="2"/>
    <x v="2"/>
    <x v="26"/>
    <x v="2"/>
    <x v="1"/>
  </r>
  <r>
    <n v="23256"/>
    <x v="1"/>
    <x v="1"/>
    <n v="30000"/>
    <n v="1"/>
    <x v="2"/>
    <s v="Clerical"/>
    <s v="No"/>
    <n v="1"/>
    <x v="2"/>
    <x v="2"/>
    <x v="31"/>
    <x v="1"/>
    <x v="0"/>
  </r>
  <r>
    <n v="12768"/>
    <x v="0"/>
    <x v="1"/>
    <n v="30000"/>
    <n v="1"/>
    <x v="2"/>
    <s v="Clerical"/>
    <s v="Yes"/>
    <n v="1"/>
    <x v="1"/>
    <x v="2"/>
    <x v="31"/>
    <x v="1"/>
    <x v="1"/>
  </r>
  <r>
    <n v="20361"/>
    <x v="0"/>
    <x v="1"/>
    <n v="50000"/>
    <n v="2"/>
    <x v="4"/>
    <s v="Management"/>
    <s v="Yes"/>
    <n v="2"/>
    <x v="2"/>
    <x v="2"/>
    <x v="45"/>
    <x v="1"/>
    <x v="0"/>
  </r>
  <r>
    <n v="21306"/>
    <x v="1"/>
    <x v="1"/>
    <n v="60000"/>
    <n v="2"/>
    <x v="2"/>
    <s v="Professional"/>
    <s v="Yes"/>
    <n v="2"/>
    <x v="2"/>
    <x v="2"/>
    <x v="36"/>
    <x v="1"/>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1"/>
    <x v="0"/>
  </r>
  <r>
    <n v="21417"/>
    <x v="1"/>
    <x v="0"/>
    <n v="60000"/>
    <n v="0"/>
    <x v="1"/>
    <s v="Professional"/>
    <s v="No"/>
    <n v="2"/>
    <x v="3"/>
    <x v="2"/>
    <x v="21"/>
    <x v="0"/>
    <x v="1"/>
  </r>
  <r>
    <n v="17668"/>
    <x v="1"/>
    <x v="1"/>
    <n v="30000"/>
    <n v="2"/>
    <x v="2"/>
    <s v="Skilled Manual"/>
    <s v="Yes"/>
    <n v="2"/>
    <x v="3"/>
    <x v="2"/>
    <x v="5"/>
    <x v="1"/>
    <x v="1"/>
  </r>
  <r>
    <n v="27994"/>
    <x v="0"/>
    <x v="0"/>
    <n v="40000"/>
    <n v="4"/>
    <x v="2"/>
    <s v="Professional"/>
    <s v="Yes"/>
    <n v="2"/>
    <x v="2"/>
    <x v="2"/>
    <x v="45"/>
    <x v="1"/>
    <x v="0"/>
  </r>
  <r>
    <n v="20376"/>
    <x v="1"/>
    <x v="0"/>
    <n v="70000"/>
    <n v="3"/>
    <x v="4"/>
    <s v="Management"/>
    <s v="Yes"/>
    <n v="2"/>
    <x v="2"/>
    <x v="2"/>
    <x v="31"/>
    <x v="1"/>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1"/>
    <x v="0"/>
  </r>
  <r>
    <n v="13351"/>
    <x v="1"/>
    <x v="0"/>
    <n v="70000"/>
    <n v="4"/>
    <x v="0"/>
    <s v="Management"/>
    <s v="Yes"/>
    <n v="2"/>
    <x v="3"/>
    <x v="2"/>
    <x v="24"/>
    <x v="1"/>
    <x v="1"/>
  </r>
  <r>
    <n v="23333"/>
    <x v="0"/>
    <x v="1"/>
    <n v="40000"/>
    <n v="0"/>
    <x v="1"/>
    <s v="Skilled Manual"/>
    <s v="No"/>
    <n v="2"/>
    <x v="3"/>
    <x v="2"/>
    <x v="25"/>
    <x v="3"/>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3"/>
    <x v="0"/>
  </r>
  <r>
    <n v="27505"/>
    <x v="1"/>
    <x v="0"/>
    <n v="40000"/>
    <n v="0"/>
    <x v="2"/>
    <s v="Skilled Manual"/>
    <s v="Yes"/>
    <n v="2"/>
    <x v="2"/>
    <x v="2"/>
    <x v="25"/>
    <x v="3"/>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1"/>
    <x v="1"/>
  </r>
  <r>
    <n v="29048"/>
    <x v="1"/>
    <x v="1"/>
    <n v="110000"/>
    <n v="2"/>
    <x v="0"/>
    <s v="Management"/>
    <s v="No"/>
    <n v="3"/>
    <x v="0"/>
    <x v="2"/>
    <x v="34"/>
    <x v="0"/>
    <x v="1"/>
  </r>
  <r>
    <n v="24433"/>
    <x v="0"/>
    <x v="1"/>
    <n v="70000"/>
    <n v="3"/>
    <x v="2"/>
    <s v="Professional"/>
    <s v="No"/>
    <n v="1"/>
    <x v="3"/>
    <x v="2"/>
    <x v="31"/>
    <x v="1"/>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1"/>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1"/>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1"/>
    <x v="0"/>
  </r>
  <r>
    <n v="22743"/>
    <x v="0"/>
    <x v="0"/>
    <n v="40000"/>
    <n v="5"/>
    <x v="2"/>
    <s v="Professional"/>
    <s v="Yes"/>
    <n v="2"/>
    <x v="4"/>
    <x v="2"/>
    <x v="2"/>
    <x v="1"/>
    <x v="0"/>
  </r>
  <r>
    <n v="25343"/>
    <x v="1"/>
    <x v="0"/>
    <n v="20000"/>
    <n v="3"/>
    <x v="3"/>
    <s v="Clerical"/>
    <s v="Yes"/>
    <n v="2"/>
    <x v="3"/>
    <x v="2"/>
    <x v="5"/>
    <x v="1"/>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1"/>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1"/>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1"/>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1"/>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1"/>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1"/>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3"/>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3"/>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1"/>
    <x v="0"/>
  </r>
  <r>
    <n v="14887"/>
    <x v="0"/>
    <x v="0"/>
    <n v="30000"/>
    <n v="1"/>
    <x v="2"/>
    <s v="Clerical"/>
    <s v="Yes"/>
    <n v="1"/>
    <x v="2"/>
    <x v="2"/>
    <x v="31"/>
    <x v="1"/>
    <x v="0"/>
  </r>
  <r>
    <n v="11734"/>
    <x v="0"/>
    <x v="1"/>
    <n v="60000"/>
    <n v="1"/>
    <x v="1"/>
    <s v="Skilled Manual"/>
    <s v="No"/>
    <n v="1"/>
    <x v="0"/>
    <x v="2"/>
    <x v="15"/>
    <x v="0"/>
    <x v="0"/>
  </r>
  <r>
    <n v="17462"/>
    <x v="0"/>
    <x v="1"/>
    <n v="70000"/>
    <n v="3"/>
    <x v="4"/>
    <s v="Management"/>
    <s v="Yes"/>
    <n v="2"/>
    <x v="2"/>
    <x v="2"/>
    <x v="39"/>
    <x v="1"/>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44C52F-FD17-481E-9616-033E176632C8}"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8:D73"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2"/>
        <item x="3"/>
        <item x="0"/>
        <item x="1"/>
        <item t="default"/>
      </items>
    </pivotField>
    <pivotField axis="axisCol" dataField="1" showAll="0">
      <items count="3">
        <item x="0"/>
        <item x="1"/>
        <item t="default"/>
      </items>
    </pivotField>
  </pivotFields>
  <rowFields count="1">
    <field x="11"/>
  </rowFields>
  <rowItems count="14">
    <i>
      <x v="11"/>
    </i>
    <i>
      <x v="12"/>
    </i>
    <i>
      <x v="13"/>
    </i>
    <i>
      <x v="14"/>
    </i>
    <i>
      <x v="15"/>
    </i>
    <i>
      <x v="21"/>
    </i>
    <i>
      <x v="22"/>
    </i>
    <i>
      <x v="23"/>
    </i>
    <i>
      <x v="26"/>
    </i>
    <i>
      <x v="28"/>
    </i>
    <i>
      <x v="37"/>
    </i>
    <i>
      <x v="38"/>
    </i>
    <i>
      <x v="43"/>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2359AB-70D5-4B8B-87EC-B143FCE02805}"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5"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5">
        <item x="2"/>
        <item x="3"/>
        <item x="0"/>
        <item x="1"/>
        <item t="default"/>
      </items>
    </pivotField>
    <pivotField axis="axisCol" dataField="1" showAll="0">
      <items count="3">
        <item x="0"/>
        <item x="1"/>
        <item t="default"/>
      </items>
    </pivotField>
  </pivotFields>
  <rowFields count="1">
    <field x="12"/>
  </rowFields>
  <rowItems count="3">
    <i>
      <x v="2"/>
    </i>
    <i>
      <x v="3"/>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3DAFCD-2864-4712-BBA6-AB4C0089B672}"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6"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F8C7E5-8EBC-486A-ADAA-8EB377F60384}"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1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99A5175-E575-4771-B605-3646701A2BAA}" sourceName="Marital Status">
  <pivotTables>
    <pivotTable tabId="3" name="PivotTable1"/>
    <pivotTable tabId="3" name="PivotTable2"/>
    <pivotTable tabId="3" name="PivotTable3"/>
    <pivotTable tabId="3" name="PivotTable4"/>
  </pivotTables>
  <data>
    <tabular pivotCacheId="188111722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C6E7545-38D3-4517-9975-2ECE3852B91F}" sourceName="Education">
  <pivotTables>
    <pivotTable tabId="3" name="PivotTable1"/>
    <pivotTable tabId="3" name="PivotTable2"/>
    <pivotTable tabId="3" name="PivotTable3"/>
    <pivotTable tabId="3" name="PivotTable4"/>
  </pivotTables>
  <data>
    <tabular pivotCacheId="1881117228">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A999D4-6943-4CBD-A7A0-6298012B3D87}" sourceName="Region">
  <pivotTables>
    <pivotTable tabId="3" name="PivotTable1"/>
    <pivotTable tabId="3" name="PivotTable2"/>
    <pivotTable tabId="3" name="PivotTable3"/>
    <pivotTable tabId="3" name="PivotTable4"/>
  </pivotTables>
  <data>
    <tabular pivotCacheId="1881117228">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43C4F06-3273-4C11-AC19-BB35389CE8B2}" cache="Slicer_Marital_Status" caption="Marital Status" rowHeight="241300"/>
  <slicer name="Education" xr10:uid="{B03CA92E-D991-4119-AA7F-7A10B50824A3}" cache="Slicer_Education" caption="Education" rowHeight="241300"/>
  <slicer name="Region" xr10:uid="{A808C9A0-29F1-4A0E-9A7D-FE82CEBAC96D}"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F37A5-2FE1-40FD-9876-8B257AB32A6B}">
  <dimension ref="A1:N1001"/>
  <sheetViews>
    <sheetView topLeftCell="C118" workbookViewId="0">
      <selection activeCell="K8" sqref="K8"/>
    </sheetView>
  </sheetViews>
  <sheetFormatPr defaultColWidth="11.85546875" defaultRowHeight="15" x14ac:dyDescent="0.25"/>
  <cols>
    <col min="1" max="1" width="15.5703125" customWidth="1"/>
    <col min="2" max="2" width="17.7109375" customWidth="1"/>
    <col min="6" max="6" width="18.28515625" customWidth="1"/>
    <col min="7" max="7" width="23.5703125" customWidth="1"/>
    <col min="8" max="8" width="15.28515625" customWidth="1"/>
    <col min="9" max="9" width="12" customWidth="1"/>
    <col min="10" max="10" width="18.7109375" customWidth="1"/>
    <col min="11" max="11" width="18.5703125" customWidth="1"/>
    <col min="13" max="13" width="13.85546875" customWidth="1"/>
    <col min="14" max="14" width="18.5703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f>IF(L2&gt;=50,"Old",IF(L2&gt;=31,"Middle Age",IF(L2&lt;30,"Adolescent","Invalid")))</f>
        <v>Middle Age</v>
      </c>
      <c r="N2" t="s">
        <v>18</v>
      </c>
    </row>
    <row r="3" spans="1:14" x14ac:dyDescent="0.25">
      <c r="A3">
        <v>24107</v>
      </c>
      <c r="B3" t="s">
        <v>36</v>
      </c>
      <c r="C3" t="s">
        <v>39</v>
      </c>
      <c r="D3" s="1">
        <v>30000</v>
      </c>
      <c r="E3">
        <v>3</v>
      </c>
      <c r="F3" t="s">
        <v>19</v>
      </c>
      <c r="G3" t="s">
        <v>20</v>
      </c>
      <c r="H3" t="s">
        <v>15</v>
      </c>
      <c r="I3">
        <v>1</v>
      </c>
      <c r="J3" t="s">
        <v>16</v>
      </c>
      <c r="K3" t="s">
        <v>17</v>
      </c>
      <c r="L3">
        <v>43</v>
      </c>
      <c r="M3" t="str">
        <f t="shared" ref="M3:M66" si="0">IF(L3&gt;=50,"Old",IF(L3&gt;=31,"Middle Age",IF(L3&lt;30,"Adolescent","Invalid")))</f>
        <v>Middle Age</v>
      </c>
      <c r="N3" t="s">
        <v>18</v>
      </c>
    </row>
    <row r="4" spans="1:14" x14ac:dyDescent="0.25">
      <c r="A4">
        <v>14177</v>
      </c>
      <c r="B4" t="s">
        <v>36</v>
      </c>
      <c r="C4" t="s">
        <v>39</v>
      </c>
      <c r="D4" s="1">
        <v>80000</v>
      </c>
      <c r="E4">
        <v>5</v>
      </c>
      <c r="F4" t="s">
        <v>19</v>
      </c>
      <c r="G4" t="s">
        <v>21</v>
      </c>
      <c r="H4" t="s">
        <v>18</v>
      </c>
      <c r="I4">
        <v>2</v>
      </c>
      <c r="J4" t="s">
        <v>22</v>
      </c>
      <c r="K4" t="s">
        <v>17</v>
      </c>
      <c r="L4">
        <v>60</v>
      </c>
      <c r="M4" t="str">
        <f t="shared" si="0"/>
        <v>Old</v>
      </c>
      <c r="N4" t="s">
        <v>18</v>
      </c>
    </row>
    <row r="5" spans="1:14" x14ac:dyDescent="0.25">
      <c r="A5">
        <v>24381</v>
      </c>
      <c r="B5" t="s">
        <v>37</v>
      </c>
      <c r="C5" t="s">
        <v>39</v>
      </c>
      <c r="D5" s="1">
        <v>70000</v>
      </c>
      <c r="E5">
        <v>0</v>
      </c>
      <c r="F5" t="s">
        <v>13</v>
      </c>
      <c r="G5" t="s">
        <v>21</v>
      </c>
      <c r="H5" t="s">
        <v>15</v>
      </c>
      <c r="I5">
        <v>1</v>
      </c>
      <c r="J5" t="s">
        <v>23</v>
      </c>
      <c r="K5" t="s">
        <v>24</v>
      </c>
      <c r="L5">
        <v>41</v>
      </c>
      <c r="M5" t="str">
        <f t="shared" si="0"/>
        <v>Middle Age</v>
      </c>
      <c r="N5" t="s">
        <v>15</v>
      </c>
    </row>
    <row r="6" spans="1:14" x14ac:dyDescent="0.25">
      <c r="A6">
        <v>25597</v>
      </c>
      <c r="B6" t="s">
        <v>37</v>
      </c>
      <c r="C6" t="s">
        <v>39</v>
      </c>
      <c r="D6" s="1">
        <v>30000</v>
      </c>
      <c r="E6">
        <v>0</v>
      </c>
      <c r="F6" t="s">
        <v>13</v>
      </c>
      <c r="G6" t="s">
        <v>20</v>
      </c>
      <c r="H6" t="s">
        <v>18</v>
      </c>
      <c r="I6">
        <v>0</v>
      </c>
      <c r="J6" t="s">
        <v>16</v>
      </c>
      <c r="K6" t="s">
        <v>17</v>
      </c>
      <c r="L6">
        <v>36</v>
      </c>
      <c r="M6" t="str">
        <f t="shared" si="0"/>
        <v>Middle Age</v>
      </c>
      <c r="N6" t="s">
        <v>15</v>
      </c>
    </row>
    <row r="7" spans="1:14" x14ac:dyDescent="0.25">
      <c r="A7">
        <v>13507</v>
      </c>
      <c r="B7" t="s">
        <v>36</v>
      </c>
      <c r="C7" t="s">
        <v>38</v>
      </c>
      <c r="D7" s="1">
        <v>10000</v>
      </c>
      <c r="E7">
        <v>2</v>
      </c>
      <c r="F7" t="s">
        <v>19</v>
      </c>
      <c r="G7" t="s">
        <v>25</v>
      </c>
      <c r="H7" t="s">
        <v>15</v>
      </c>
      <c r="I7">
        <v>0</v>
      </c>
      <c r="J7" t="s">
        <v>26</v>
      </c>
      <c r="K7" t="s">
        <v>17</v>
      </c>
      <c r="L7">
        <v>50</v>
      </c>
      <c r="M7" t="str">
        <f t="shared" si="0"/>
        <v>Old</v>
      </c>
      <c r="N7" t="s">
        <v>18</v>
      </c>
    </row>
    <row r="8" spans="1:14" x14ac:dyDescent="0.25">
      <c r="A8">
        <v>27974</v>
      </c>
      <c r="B8" t="s">
        <v>37</v>
      </c>
      <c r="C8" t="s">
        <v>39</v>
      </c>
      <c r="D8" s="1">
        <v>160000</v>
      </c>
      <c r="E8">
        <v>2</v>
      </c>
      <c r="F8" t="s">
        <v>27</v>
      </c>
      <c r="G8" t="s">
        <v>28</v>
      </c>
      <c r="H8" t="s">
        <v>15</v>
      </c>
      <c r="I8">
        <v>4</v>
      </c>
      <c r="J8" t="s">
        <v>16</v>
      </c>
      <c r="K8" t="s">
        <v>24</v>
      </c>
      <c r="L8">
        <v>33</v>
      </c>
      <c r="M8" t="str">
        <f t="shared" si="0"/>
        <v>Middle Age</v>
      </c>
      <c r="N8" t="s">
        <v>15</v>
      </c>
    </row>
    <row r="9" spans="1:14" x14ac:dyDescent="0.25">
      <c r="A9">
        <v>19364</v>
      </c>
      <c r="B9" t="s">
        <v>36</v>
      </c>
      <c r="C9" t="s">
        <v>39</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1">
        <v>30000</v>
      </c>
      <c r="E12">
        <v>3</v>
      </c>
      <c r="F12" t="s">
        <v>27</v>
      </c>
      <c r="G12" t="s">
        <v>14</v>
      </c>
      <c r="H12" t="s">
        <v>18</v>
      </c>
      <c r="I12">
        <v>2</v>
      </c>
      <c r="J12" t="s">
        <v>26</v>
      </c>
      <c r="K12" t="s">
        <v>24</v>
      </c>
      <c r="L12">
        <v>54</v>
      </c>
      <c r="M12" t="str">
        <f t="shared" si="0"/>
        <v>Old</v>
      </c>
      <c r="N12" t="s">
        <v>15</v>
      </c>
    </row>
    <row r="13" spans="1:14" x14ac:dyDescent="0.25">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1">
        <v>80000</v>
      </c>
      <c r="E35">
        <v>2</v>
      </c>
      <c r="F35" t="s">
        <v>27</v>
      </c>
      <c r="G35" t="s">
        <v>14</v>
      </c>
      <c r="H35" t="s">
        <v>18</v>
      </c>
      <c r="I35">
        <v>2</v>
      </c>
      <c r="J35" t="s">
        <v>26</v>
      </c>
      <c r="K35" t="s">
        <v>24</v>
      </c>
      <c r="L35">
        <v>50</v>
      </c>
      <c r="M35" t="str">
        <f t="shared" si="0"/>
        <v>Old</v>
      </c>
      <c r="N35" t="s">
        <v>15</v>
      </c>
    </row>
    <row r="36" spans="1:14" x14ac:dyDescent="0.2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1">
        <v>10000</v>
      </c>
      <c r="E38">
        <v>2</v>
      </c>
      <c r="F38" t="s">
        <v>19</v>
      </c>
      <c r="G38" t="s">
        <v>25</v>
      </c>
      <c r="H38" t="s">
        <v>15</v>
      </c>
      <c r="I38">
        <v>1</v>
      </c>
      <c r="J38" t="s">
        <v>16</v>
      </c>
      <c r="K38" t="s">
        <v>17</v>
      </c>
      <c r="L38">
        <v>50</v>
      </c>
      <c r="M38" t="str">
        <f t="shared" si="0"/>
        <v>Old</v>
      </c>
      <c r="N38" t="s">
        <v>15</v>
      </c>
    </row>
    <row r="39" spans="1:14" x14ac:dyDescent="0.25">
      <c r="A39">
        <v>27832</v>
      </c>
      <c r="B39" t="s">
        <v>37</v>
      </c>
      <c r="C39" t="s">
        <v>38</v>
      </c>
      <c r="D39" s="1">
        <v>30000</v>
      </c>
      <c r="E39">
        <v>0</v>
      </c>
      <c r="F39" t="s">
        <v>19</v>
      </c>
      <c r="G39" t="s">
        <v>20</v>
      </c>
      <c r="H39" t="s">
        <v>18</v>
      </c>
      <c r="I39">
        <v>1</v>
      </c>
      <c r="J39" t="s">
        <v>22</v>
      </c>
      <c r="K39" t="s">
        <v>17</v>
      </c>
      <c r="L39">
        <v>30</v>
      </c>
      <c r="M39" t="str">
        <f t="shared" si="0"/>
        <v>Invalid</v>
      </c>
      <c r="N39" t="s">
        <v>18</v>
      </c>
    </row>
    <row r="40" spans="1:14" x14ac:dyDescent="0.25">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1">
        <v>40000</v>
      </c>
      <c r="E49">
        <v>2</v>
      </c>
      <c r="F49" t="s">
        <v>19</v>
      </c>
      <c r="G49" t="s">
        <v>14</v>
      </c>
      <c r="H49" t="s">
        <v>15</v>
      </c>
      <c r="I49">
        <v>2</v>
      </c>
      <c r="J49" t="s">
        <v>23</v>
      </c>
      <c r="K49" t="s">
        <v>24</v>
      </c>
      <c r="L49">
        <v>52</v>
      </c>
      <c r="M49" t="str">
        <f t="shared" si="0"/>
        <v>Old</v>
      </c>
      <c r="N49" t="s">
        <v>15</v>
      </c>
    </row>
    <row r="50" spans="1:14" x14ac:dyDescent="0.2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1">
        <v>80000</v>
      </c>
      <c r="E57">
        <v>4</v>
      </c>
      <c r="F57" t="s">
        <v>27</v>
      </c>
      <c r="G57" t="s">
        <v>21</v>
      </c>
      <c r="H57" t="s">
        <v>15</v>
      </c>
      <c r="I57">
        <v>2</v>
      </c>
      <c r="J57" t="s">
        <v>46</v>
      </c>
      <c r="K57" t="s">
        <v>17</v>
      </c>
      <c r="L57">
        <v>54</v>
      </c>
      <c r="M57" t="str">
        <f t="shared" si="0"/>
        <v>Old</v>
      </c>
      <c r="N57" t="s">
        <v>18</v>
      </c>
    </row>
    <row r="58" spans="1:14" x14ac:dyDescent="0.2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1">
        <v>40000</v>
      </c>
      <c r="E64">
        <v>2</v>
      </c>
      <c r="F64" t="s">
        <v>13</v>
      </c>
      <c r="G64" t="s">
        <v>28</v>
      </c>
      <c r="H64" t="s">
        <v>15</v>
      </c>
      <c r="I64">
        <v>1</v>
      </c>
      <c r="J64" t="s">
        <v>16</v>
      </c>
      <c r="K64" t="s">
        <v>24</v>
      </c>
      <c r="L64">
        <v>52</v>
      </c>
      <c r="M64" t="str">
        <f t="shared" si="0"/>
        <v>Old</v>
      </c>
      <c r="N64" t="s">
        <v>15</v>
      </c>
    </row>
    <row r="65" spans="1:14" x14ac:dyDescent="0.25">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1">
        <v>30000</v>
      </c>
      <c r="E67">
        <v>2</v>
      </c>
      <c r="F67" t="s">
        <v>19</v>
      </c>
      <c r="G67" t="s">
        <v>20</v>
      </c>
      <c r="H67" t="s">
        <v>15</v>
      </c>
      <c r="I67">
        <v>2</v>
      </c>
      <c r="J67" t="s">
        <v>23</v>
      </c>
      <c r="K67" t="s">
        <v>24</v>
      </c>
      <c r="L67">
        <v>68</v>
      </c>
      <c r="M67" t="str">
        <f t="shared" ref="M67:M130" si="1">IF(L67&gt;=50,"Old",IF(L67&gt;=31,"Middle Age",IF(L67&lt;30,"Adolescent","Invalid")))</f>
        <v>Old</v>
      </c>
      <c r="N67" t="s">
        <v>18</v>
      </c>
    </row>
    <row r="68" spans="1:14" x14ac:dyDescent="0.2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1">
        <v>10000</v>
      </c>
      <c r="E71">
        <v>0</v>
      </c>
      <c r="F71" t="s">
        <v>29</v>
      </c>
      <c r="G71" t="s">
        <v>25</v>
      </c>
      <c r="H71" t="s">
        <v>18</v>
      </c>
      <c r="I71">
        <v>2</v>
      </c>
      <c r="J71" t="s">
        <v>16</v>
      </c>
      <c r="K71" t="s">
        <v>17</v>
      </c>
      <c r="L71">
        <v>30</v>
      </c>
      <c r="M71" t="str">
        <f t="shared" si="1"/>
        <v>Invalid</v>
      </c>
      <c r="N71" t="s">
        <v>18</v>
      </c>
    </row>
    <row r="72" spans="1:14" x14ac:dyDescent="0.25">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1">
        <v>130000</v>
      </c>
      <c r="E74">
        <v>3</v>
      </c>
      <c r="F74" t="s">
        <v>27</v>
      </c>
      <c r="G74" t="s">
        <v>21</v>
      </c>
      <c r="H74" t="s">
        <v>15</v>
      </c>
      <c r="I74">
        <v>4</v>
      </c>
      <c r="J74" t="s">
        <v>16</v>
      </c>
      <c r="K74" t="s">
        <v>17</v>
      </c>
      <c r="L74">
        <v>52</v>
      </c>
      <c r="M74" t="str">
        <f t="shared" si="1"/>
        <v>Old</v>
      </c>
      <c r="N74" t="s">
        <v>18</v>
      </c>
    </row>
    <row r="75" spans="1:14" x14ac:dyDescent="0.2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1">
        <v>80000</v>
      </c>
      <c r="E80">
        <v>2</v>
      </c>
      <c r="F80" t="s">
        <v>27</v>
      </c>
      <c r="G80" t="s">
        <v>14</v>
      </c>
      <c r="H80" t="s">
        <v>18</v>
      </c>
      <c r="I80">
        <v>2</v>
      </c>
      <c r="J80" t="s">
        <v>26</v>
      </c>
      <c r="K80" t="s">
        <v>24</v>
      </c>
      <c r="L80">
        <v>50</v>
      </c>
      <c r="M80" t="str">
        <f t="shared" si="1"/>
        <v>Old</v>
      </c>
      <c r="N80" t="s">
        <v>15</v>
      </c>
    </row>
    <row r="81" spans="1:14" x14ac:dyDescent="0.2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1">
        <v>40000</v>
      </c>
      <c r="E86">
        <v>2</v>
      </c>
      <c r="F86" t="s">
        <v>13</v>
      </c>
      <c r="G86" t="s">
        <v>28</v>
      </c>
      <c r="H86" t="s">
        <v>18</v>
      </c>
      <c r="I86">
        <v>1</v>
      </c>
      <c r="J86" t="s">
        <v>23</v>
      </c>
      <c r="K86" t="s">
        <v>24</v>
      </c>
      <c r="L86">
        <v>52</v>
      </c>
      <c r="M86" t="str">
        <f t="shared" si="1"/>
        <v>Old</v>
      </c>
      <c r="N86" t="s">
        <v>15</v>
      </c>
    </row>
    <row r="87" spans="1:14" x14ac:dyDescent="0.2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1">
        <v>130000</v>
      </c>
      <c r="E88">
        <v>3</v>
      </c>
      <c r="F88" t="s">
        <v>19</v>
      </c>
      <c r="G88" t="s">
        <v>21</v>
      </c>
      <c r="H88" t="s">
        <v>18</v>
      </c>
      <c r="I88">
        <v>3</v>
      </c>
      <c r="J88" t="s">
        <v>16</v>
      </c>
      <c r="K88" t="s">
        <v>17</v>
      </c>
      <c r="L88">
        <v>51</v>
      </c>
      <c r="M88" t="str">
        <f t="shared" si="1"/>
        <v>Old</v>
      </c>
      <c r="N88" t="s">
        <v>15</v>
      </c>
    </row>
    <row r="89" spans="1:14" x14ac:dyDescent="0.2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1">
        <v>30000</v>
      </c>
      <c r="E93">
        <v>0</v>
      </c>
      <c r="F93" t="s">
        <v>19</v>
      </c>
      <c r="G93" t="s">
        <v>20</v>
      </c>
      <c r="H93" t="s">
        <v>18</v>
      </c>
      <c r="I93">
        <v>1</v>
      </c>
      <c r="J93" t="s">
        <v>16</v>
      </c>
      <c r="K93" t="s">
        <v>17</v>
      </c>
      <c r="L93">
        <v>30</v>
      </c>
      <c r="M93" t="str">
        <f t="shared" si="1"/>
        <v>Invalid</v>
      </c>
      <c r="N93" t="s">
        <v>15</v>
      </c>
    </row>
    <row r="94" spans="1:14" x14ac:dyDescent="0.2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f t="shared" si="1"/>
        <v>Invalid</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f t="shared" si="1"/>
        <v>Old</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f t="shared" si="1"/>
        <v>Old</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f t="shared" si="1"/>
        <v>Invalid</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f t="shared" si="1"/>
        <v>Old</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f t="shared" ref="M131:M194" si="2">IF(L131&gt;=50,"Old",IF(L131&gt;=31,"Middle Age",IF(L131&lt;30,"Adolescent","Invalid")))</f>
        <v>Middle Age</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f t="shared" si="2"/>
        <v>Old</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f t="shared" si="2"/>
        <v>Old</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f t="shared" si="2"/>
        <v>Old</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f t="shared" si="2"/>
        <v>Old</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f t="shared" si="2"/>
        <v>Old</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1">
        <v>70000</v>
      </c>
      <c r="E195">
        <v>5</v>
      </c>
      <c r="F195" t="s">
        <v>13</v>
      </c>
      <c r="G195" t="s">
        <v>21</v>
      </c>
      <c r="H195" t="s">
        <v>15</v>
      </c>
      <c r="I195">
        <v>4</v>
      </c>
      <c r="J195" t="s">
        <v>46</v>
      </c>
      <c r="K195" t="s">
        <v>24</v>
      </c>
      <c r="L195">
        <v>41</v>
      </c>
      <c r="M195" t="str">
        <f t="shared" ref="M195:M258" si="3">IF(L195&gt;=50,"Old",IF(L195&gt;=31,"Middle Age",IF(L195&lt;30,"Adolescent","Invalid")))</f>
        <v>Middle Age</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f t="shared" si="3"/>
        <v>Old</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f t="shared" si="3"/>
        <v>Invalid</v>
      </c>
      <c r="N214" t="s">
        <v>18</v>
      </c>
    </row>
    <row r="215" spans="1:14" x14ac:dyDescent="0.25">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f t="shared" si="3"/>
        <v>Old</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f t="shared" si="3"/>
        <v>Old</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1">
        <v>120000</v>
      </c>
      <c r="E246">
        <v>3</v>
      </c>
      <c r="F246" t="s">
        <v>13</v>
      </c>
      <c r="G246" t="s">
        <v>28</v>
      </c>
      <c r="H246" t="s">
        <v>18</v>
      </c>
      <c r="I246">
        <v>2</v>
      </c>
      <c r="J246" t="s">
        <v>46</v>
      </c>
      <c r="K246" t="s">
        <v>17</v>
      </c>
      <c r="L246">
        <v>52</v>
      </c>
      <c r="M246" t="str">
        <f t="shared" si="3"/>
        <v>Old</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f t="shared" si="3"/>
        <v>Old</v>
      </c>
      <c r="N248" t="s">
        <v>15</v>
      </c>
    </row>
    <row r="249" spans="1:14" x14ac:dyDescent="0.25">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f t="shared" ref="M259:M322" si="4">IF(L259&gt;=50,"Old",IF(L259&gt;=31,"Middle Age",IF(L259&lt;30,"Adolescent","Invalid")))</f>
        <v>Middle Age</v>
      </c>
      <c r="N259" t="s">
        <v>15</v>
      </c>
    </row>
    <row r="260" spans="1:14" x14ac:dyDescent="0.25">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f t="shared" si="4"/>
        <v>Old</v>
      </c>
      <c r="N264" t="s">
        <v>18</v>
      </c>
    </row>
    <row r="265" spans="1:14" x14ac:dyDescent="0.25">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f t="shared" si="4"/>
        <v>Old</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f t="shared" si="4"/>
        <v>Invalid</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f t="shared" si="4"/>
        <v>Old</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f t="shared" si="4"/>
        <v>Old</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f t="shared" si="4"/>
        <v>Old</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1">
        <v>130000</v>
      </c>
      <c r="E320">
        <v>4</v>
      </c>
      <c r="F320" t="s">
        <v>19</v>
      </c>
      <c r="G320" t="s">
        <v>21</v>
      </c>
      <c r="H320" t="s">
        <v>18</v>
      </c>
      <c r="I320">
        <v>3</v>
      </c>
      <c r="J320" t="s">
        <v>46</v>
      </c>
      <c r="K320" t="s">
        <v>17</v>
      </c>
      <c r="L320">
        <v>54</v>
      </c>
      <c r="M320" t="str">
        <f t="shared" si="4"/>
        <v>Old</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f t="shared" ref="M323:M386" si="5">IF(L323&gt;=50,"Old",IF(L323&gt;=31,"Middle Age",IF(L323&lt;30,"Adolescent","Invalid")))</f>
        <v>Middle Age</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f t="shared" si="5"/>
        <v>Invalid</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f t="shared" si="5"/>
        <v>Old</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f t="shared" si="5"/>
        <v>Old</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f t="shared" si="5"/>
        <v>Invalid</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f t="shared" si="5"/>
        <v>Old</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f t="shared" si="5"/>
        <v>Old</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f t="shared" si="5"/>
        <v>Old</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1">
        <v>80000</v>
      </c>
      <c r="E361">
        <v>0</v>
      </c>
      <c r="F361" t="s">
        <v>13</v>
      </c>
      <c r="G361" t="s">
        <v>21</v>
      </c>
      <c r="H361" t="s">
        <v>15</v>
      </c>
      <c r="I361">
        <v>3</v>
      </c>
      <c r="J361" t="s">
        <v>46</v>
      </c>
      <c r="K361" t="s">
        <v>24</v>
      </c>
      <c r="L361">
        <v>30</v>
      </c>
      <c r="M361" t="str">
        <f t="shared" si="5"/>
        <v>Invalid</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f t="shared" si="5"/>
        <v>Old</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f t="shared" si="5"/>
        <v>Old</v>
      </c>
      <c r="N371" t="s">
        <v>15</v>
      </c>
    </row>
    <row r="372" spans="1:14" x14ac:dyDescent="0.25">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f t="shared" si="5"/>
        <v>Old</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f t="shared" si="5"/>
        <v>Invalid</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f t="shared" si="5"/>
        <v>Old</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1">
        <v>70000</v>
      </c>
      <c r="E382">
        <v>0</v>
      </c>
      <c r="F382" t="s">
        <v>13</v>
      </c>
      <c r="G382" t="s">
        <v>21</v>
      </c>
      <c r="H382" t="s">
        <v>18</v>
      </c>
      <c r="I382">
        <v>3</v>
      </c>
      <c r="J382" t="s">
        <v>46</v>
      </c>
      <c r="K382" t="s">
        <v>24</v>
      </c>
      <c r="L382">
        <v>30</v>
      </c>
      <c r="M382" t="str">
        <f t="shared" si="5"/>
        <v>Invalid</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1">
        <v>80000</v>
      </c>
      <c r="E384">
        <v>4</v>
      </c>
      <c r="F384" t="s">
        <v>19</v>
      </c>
      <c r="G384" t="s">
        <v>21</v>
      </c>
      <c r="H384" t="s">
        <v>15</v>
      </c>
      <c r="I384">
        <v>2</v>
      </c>
      <c r="J384" t="s">
        <v>46</v>
      </c>
      <c r="K384" t="s">
        <v>17</v>
      </c>
      <c r="L384">
        <v>53</v>
      </c>
      <c r="M384" t="str">
        <f t="shared" si="5"/>
        <v>Old</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f t="shared" ref="M387:M450" si="6">IF(L387&gt;=50,"Old",IF(L387&gt;=31,"Middle Age",IF(L387&lt;30,"Adolescent","Invalid")))</f>
        <v>Middle Age</v>
      </c>
      <c r="N387" t="s">
        <v>18</v>
      </c>
    </row>
    <row r="388" spans="1:14" x14ac:dyDescent="0.25">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f t="shared" si="6"/>
        <v>Old</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f t="shared" si="6"/>
        <v>Old</v>
      </c>
      <c r="N401" t="s">
        <v>15</v>
      </c>
    </row>
    <row r="402" spans="1:14" x14ac:dyDescent="0.25">
      <c r="A402">
        <v>25792</v>
      </c>
      <c r="B402" t="s">
        <v>37</v>
      </c>
      <c r="C402" t="s">
        <v>38</v>
      </c>
      <c r="D402" s="1">
        <v>110000</v>
      </c>
      <c r="E402">
        <v>3</v>
      </c>
      <c r="F402" t="s">
        <v>13</v>
      </c>
      <c r="G402" t="s">
        <v>28</v>
      </c>
      <c r="H402" t="s">
        <v>15</v>
      </c>
      <c r="I402">
        <v>4</v>
      </c>
      <c r="J402" t="s">
        <v>46</v>
      </c>
      <c r="K402" t="s">
        <v>17</v>
      </c>
      <c r="L402">
        <v>53</v>
      </c>
      <c r="M402" t="str">
        <f t="shared" si="6"/>
        <v>Old</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f t="shared" si="6"/>
        <v>Old</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f t="shared" si="6"/>
        <v>Old</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f t="shared" si="6"/>
        <v>Old</v>
      </c>
      <c r="N421" t="s">
        <v>15</v>
      </c>
    </row>
    <row r="422" spans="1:14" x14ac:dyDescent="0.25">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f t="shared" si="6"/>
        <v>Old</v>
      </c>
      <c r="N423" t="s">
        <v>18</v>
      </c>
    </row>
    <row r="424" spans="1:14" x14ac:dyDescent="0.25">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f t="shared" si="6"/>
        <v>Old</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f t="shared" si="6"/>
        <v>Old</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f t="shared" si="6"/>
        <v>Old</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f t="shared" ref="M451:M514" si="7">IF(L451&gt;=50,"Old",IF(L451&gt;=31,"Middle Age",IF(L451&lt;30,"Adolescent","Invalid")))</f>
        <v>Middle Age</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f t="shared" si="7"/>
        <v>Old</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f t="shared" si="7"/>
        <v>Old</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f t="shared" si="7"/>
        <v>Old</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f t="shared" si="7"/>
        <v>Old</v>
      </c>
      <c r="N496" t="s">
        <v>18</v>
      </c>
    </row>
    <row r="497" spans="1:14" x14ac:dyDescent="0.25">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f t="shared" si="7"/>
        <v>Old</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1">
        <v>60000</v>
      </c>
      <c r="E515">
        <v>4</v>
      </c>
      <c r="F515" t="s">
        <v>31</v>
      </c>
      <c r="G515" t="s">
        <v>28</v>
      </c>
      <c r="H515" t="s">
        <v>15</v>
      </c>
      <c r="I515">
        <v>2</v>
      </c>
      <c r="J515" t="s">
        <v>46</v>
      </c>
      <c r="K515" t="s">
        <v>32</v>
      </c>
      <c r="L515">
        <v>61</v>
      </c>
      <c r="M515" t="str">
        <f t="shared" ref="M515:M578" si="8">IF(L515&gt;=50,"Old",IF(L515&gt;=31,"Middle Age",IF(L515&lt;30,"Adolescent","Invalid")))</f>
        <v>Old</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f t="shared" si="8"/>
        <v>Old</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f t="shared" si="8"/>
        <v>Old</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1">
        <v>60000</v>
      </c>
      <c r="E554">
        <v>3</v>
      </c>
      <c r="F554" t="s">
        <v>27</v>
      </c>
      <c r="G554" t="s">
        <v>21</v>
      </c>
      <c r="H554" t="s">
        <v>15</v>
      </c>
      <c r="I554">
        <v>2</v>
      </c>
      <c r="J554" t="s">
        <v>46</v>
      </c>
      <c r="K554" t="s">
        <v>32</v>
      </c>
      <c r="L554">
        <v>54</v>
      </c>
      <c r="M554" t="str">
        <f t="shared" si="8"/>
        <v>Old</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f t="shared" si="8"/>
        <v>Old</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f t="shared" si="8"/>
        <v>Old</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f t="shared" si="8"/>
        <v>Invalid</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f t="shared" ref="M579:M642" si="9">IF(L579&gt;=50,"Old",IF(L579&gt;=31,"Middle Age",IF(L579&lt;30,"Adolescent","Invalid")))</f>
        <v>Middle Age</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f t="shared" si="9"/>
        <v>Old</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1">
        <v>90000</v>
      </c>
      <c r="E590">
        <v>2</v>
      </c>
      <c r="F590" t="s">
        <v>27</v>
      </c>
      <c r="G590" t="s">
        <v>21</v>
      </c>
      <c r="H590" t="s">
        <v>15</v>
      </c>
      <c r="I590">
        <v>1</v>
      </c>
      <c r="J590" t="s">
        <v>46</v>
      </c>
      <c r="K590" t="s">
        <v>32</v>
      </c>
      <c r="L590">
        <v>51</v>
      </c>
      <c r="M590" t="str">
        <f t="shared" si="9"/>
        <v>Old</v>
      </c>
      <c r="N590" t="s">
        <v>15</v>
      </c>
    </row>
    <row r="591" spans="1:14" x14ac:dyDescent="0.25">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f t="shared" si="9"/>
        <v>Old</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f t="shared" si="9"/>
        <v>Old</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f t="shared" si="9"/>
        <v>Old</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f t="shared" si="9"/>
        <v>Invalid</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f t="shared" si="9"/>
        <v>Old</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f t="shared" si="9"/>
        <v>Invalid</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f t="shared" si="9"/>
        <v>Invalid</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1">
        <v>50000</v>
      </c>
      <c r="E643">
        <v>4</v>
      </c>
      <c r="F643" t="s">
        <v>13</v>
      </c>
      <c r="G643" t="s">
        <v>28</v>
      </c>
      <c r="H643" t="s">
        <v>15</v>
      </c>
      <c r="I643">
        <v>2</v>
      </c>
      <c r="J643" t="s">
        <v>46</v>
      </c>
      <c r="K643" t="s">
        <v>32</v>
      </c>
      <c r="L643">
        <v>64</v>
      </c>
      <c r="M643" t="str">
        <f t="shared" ref="M643:M706" si="10">IF(L643&gt;=50,"Old",IF(L643&gt;=31,"Middle Age",IF(L643&lt;30,"Adolescent","Invalid")))</f>
        <v>Old</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f t="shared" si="10"/>
        <v>Old</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f t="shared" si="10"/>
        <v>Old</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f t="shared" si="10"/>
        <v>Old</v>
      </c>
      <c r="N671" t="s">
        <v>18</v>
      </c>
    </row>
    <row r="672" spans="1:14" x14ac:dyDescent="0.25">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f t="shared" si="10"/>
        <v>Invalid</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f t="shared" si="10"/>
        <v>Old</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f t="shared" si="10"/>
        <v>Old</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f t="shared" si="10"/>
        <v>Old</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f t="shared" si="10"/>
        <v>Invalid</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f t="shared" si="10"/>
        <v>Invalid</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f t="shared" si="10"/>
        <v>Invalid</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1">
        <v>70000</v>
      </c>
      <c r="E707">
        <v>4</v>
      </c>
      <c r="F707" t="s">
        <v>13</v>
      </c>
      <c r="G707" t="s">
        <v>28</v>
      </c>
      <c r="H707" t="s">
        <v>15</v>
      </c>
      <c r="I707">
        <v>1</v>
      </c>
      <c r="J707" t="s">
        <v>46</v>
      </c>
      <c r="K707" t="s">
        <v>32</v>
      </c>
      <c r="L707">
        <v>59</v>
      </c>
      <c r="M707" t="str">
        <f t="shared" ref="M707:M770" si="11">IF(L707&gt;=50,"Old",IF(L707&gt;=31,"Middle Age",IF(L707&lt;30,"Adolescent","Invalid")))</f>
        <v>Old</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f t="shared" si="11"/>
        <v>Old</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f t="shared" si="11"/>
        <v>Old</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f t="shared" si="11"/>
        <v>Invalid</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f t="shared" si="11"/>
        <v>Invalid</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f t="shared" si="11"/>
        <v>Old</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f t="shared" si="11"/>
        <v>Old</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f t="shared" si="11"/>
        <v>Old</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f t="shared" si="11"/>
        <v>Old</v>
      </c>
      <c r="N762" t="s">
        <v>18</v>
      </c>
    </row>
    <row r="763" spans="1:14" x14ac:dyDescent="0.25">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f t="shared" ref="M771:M834" si="12">IF(L771&gt;=50,"Old",IF(L771&gt;=31,"Middle Age",IF(L771&lt;30,"Adolescent","Invalid")))</f>
        <v>Middle Age</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1">
        <v>70000</v>
      </c>
      <c r="E777">
        <v>2</v>
      </c>
      <c r="F777" t="s">
        <v>29</v>
      </c>
      <c r="G777" t="s">
        <v>14</v>
      </c>
      <c r="H777" t="s">
        <v>15</v>
      </c>
      <c r="I777">
        <v>2</v>
      </c>
      <c r="J777" t="s">
        <v>46</v>
      </c>
      <c r="K777" t="s">
        <v>32</v>
      </c>
      <c r="L777">
        <v>54</v>
      </c>
      <c r="M777" t="str">
        <f t="shared" si="12"/>
        <v>Old</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f t="shared" si="12"/>
        <v>Old</v>
      </c>
      <c r="N781" t="s">
        <v>15</v>
      </c>
    </row>
    <row r="782" spans="1:14" x14ac:dyDescent="0.25">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f t="shared" si="12"/>
        <v>Old</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f t="shared" si="12"/>
        <v>Old</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f t="shared" si="12"/>
        <v>Old</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f t="shared" si="12"/>
        <v>Old</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f t="shared" si="12"/>
        <v>Old</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f t="shared" si="12"/>
        <v>Old</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f t="shared" si="12"/>
        <v>Old</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f t="shared" si="12"/>
        <v>Old</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1">
        <v>70000</v>
      </c>
      <c r="E815">
        <v>2</v>
      </c>
      <c r="F815" t="s">
        <v>27</v>
      </c>
      <c r="G815" t="s">
        <v>21</v>
      </c>
      <c r="H815" t="s">
        <v>15</v>
      </c>
      <c r="I815">
        <v>2</v>
      </c>
      <c r="J815" t="s">
        <v>46</v>
      </c>
      <c r="K815" t="s">
        <v>32</v>
      </c>
      <c r="L815">
        <v>53</v>
      </c>
      <c r="M815" t="str">
        <f t="shared" si="12"/>
        <v>Old</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f t="shared" si="12"/>
        <v>Invalid</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f t="shared" si="12"/>
        <v>Invalid</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f t="shared" si="12"/>
        <v>Invalid</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f t="shared" si="12"/>
        <v>Old</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f t="shared" si="12"/>
        <v>Old</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f t="shared" si="12"/>
        <v>Old</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f t="shared" ref="M835:M898" si="13">IF(L835&gt;=50,"Old",IF(L835&gt;=31,"Middle Age",IF(L835&lt;30,"Adolescent","Invalid")))</f>
        <v>Middle Age</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f t="shared" si="13"/>
        <v>Old</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1">
        <v>70000</v>
      </c>
      <c r="E842">
        <v>4</v>
      </c>
      <c r="F842" t="s">
        <v>19</v>
      </c>
      <c r="G842" t="s">
        <v>21</v>
      </c>
      <c r="H842" t="s">
        <v>15</v>
      </c>
      <c r="I842">
        <v>2</v>
      </c>
      <c r="J842" t="s">
        <v>46</v>
      </c>
      <c r="K842" t="s">
        <v>32</v>
      </c>
      <c r="L842">
        <v>53</v>
      </c>
      <c r="M842" t="str">
        <f t="shared" si="13"/>
        <v>Old</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f t="shared" si="13"/>
        <v>Old</v>
      </c>
      <c r="N845" t="s">
        <v>18</v>
      </c>
    </row>
    <row r="846" spans="1:14" x14ac:dyDescent="0.25">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f t="shared" si="13"/>
        <v>Old</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f t="shared" si="13"/>
        <v>Old</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f t="shared" si="13"/>
        <v>Old</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f t="shared" si="13"/>
        <v>Old</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f t="shared" ref="M899:M962" si="14">IF(L899&gt;=50,"Old",IF(L899&gt;=31,"Middle Age",IF(L899&lt;30,"Adolescent","Invalid")))</f>
        <v>Adolescent</v>
      </c>
      <c r="N899" t="s">
        <v>18</v>
      </c>
    </row>
    <row r="900" spans="1:14" x14ac:dyDescent="0.25">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f t="shared" si="14"/>
        <v>Old</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f t="shared" si="14"/>
        <v>Old</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f t="shared" si="14"/>
        <v>Old</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f t="shared" si="14"/>
        <v>Old</v>
      </c>
      <c r="N931" t="s">
        <v>18</v>
      </c>
    </row>
    <row r="932" spans="1:14" x14ac:dyDescent="0.25">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f t="shared" si="14"/>
        <v>Old</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f t="shared" si="14"/>
        <v>Old</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1">
        <v>70000</v>
      </c>
      <c r="E951">
        <v>2</v>
      </c>
      <c r="F951" t="s">
        <v>29</v>
      </c>
      <c r="G951" t="s">
        <v>14</v>
      </c>
      <c r="H951" t="s">
        <v>15</v>
      </c>
      <c r="I951">
        <v>2</v>
      </c>
      <c r="J951" t="s">
        <v>46</v>
      </c>
      <c r="K951" t="s">
        <v>32</v>
      </c>
      <c r="L951">
        <v>53</v>
      </c>
      <c r="M951" t="str">
        <f t="shared" si="14"/>
        <v>Old</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f t="shared" si="14"/>
        <v>Invalid</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f t="shared" si="14"/>
        <v>Invalid</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f t="shared" ref="M963:M1001" si="15">IF(L963&gt;=50,"Old",IF(L963&gt;=31,"Middle Age",IF(L963&lt;30,"Adolescent","Invalid")))</f>
        <v>Old</v>
      </c>
      <c r="N963" t="s">
        <v>18</v>
      </c>
    </row>
    <row r="964" spans="1:14" x14ac:dyDescent="0.25">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f t="shared" si="15"/>
        <v>Old</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f t="shared" si="15"/>
        <v>Old</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f t="shared" si="15"/>
        <v>Old</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f t="shared" si="15"/>
        <v>Old</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1">
        <v>60000</v>
      </c>
      <c r="E1001">
        <v>3</v>
      </c>
      <c r="F1001" t="s">
        <v>27</v>
      </c>
      <c r="G1001" t="s">
        <v>21</v>
      </c>
      <c r="H1001" t="s">
        <v>15</v>
      </c>
      <c r="I1001">
        <v>2</v>
      </c>
      <c r="J1001" t="s">
        <v>46</v>
      </c>
      <c r="K1001" t="s">
        <v>32</v>
      </c>
      <c r="L1001">
        <v>53</v>
      </c>
      <c r="M1001" t="str">
        <f t="shared" si="15"/>
        <v>Old</v>
      </c>
      <c r="N1001" t="s">
        <v>15</v>
      </c>
    </row>
  </sheetData>
  <autoFilter ref="A1:N1001" xr:uid="{9E5F37A5-2FE1-40FD-9876-8B257AB32A6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9516D-1917-45FB-A4CE-4341F65BEB1B}">
  <dimension ref="A3:D73"/>
  <sheetViews>
    <sheetView topLeftCell="A34" workbookViewId="0">
      <selection activeCell="N64" sqref="N64"/>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3" t="s">
        <v>43</v>
      </c>
      <c r="B3" s="3" t="s">
        <v>44</v>
      </c>
    </row>
    <row r="4" spans="1:4" x14ac:dyDescent="0.25">
      <c r="A4" s="3" t="s">
        <v>41</v>
      </c>
      <c r="B4" t="s">
        <v>18</v>
      </c>
      <c r="C4" t="s">
        <v>15</v>
      </c>
      <c r="D4" t="s">
        <v>42</v>
      </c>
    </row>
    <row r="5" spans="1:4" x14ac:dyDescent="0.25">
      <c r="A5" s="4" t="s">
        <v>38</v>
      </c>
      <c r="B5" s="6">
        <v>66666.666666666672</v>
      </c>
      <c r="C5" s="6">
        <v>35000</v>
      </c>
      <c r="D5" s="6">
        <v>48571.428571428572</v>
      </c>
    </row>
    <row r="6" spans="1:4" x14ac:dyDescent="0.25">
      <c r="A6" s="4" t="s">
        <v>39</v>
      </c>
      <c r="B6" s="6">
        <v>22500</v>
      </c>
      <c r="C6" s="6">
        <v>33333.333333333336</v>
      </c>
      <c r="D6" s="6">
        <v>30000</v>
      </c>
    </row>
    <row r="7" spans="1:4" x14ac:dyDescent="0.25">
      <c r="A7" s="4" t="s">
        <v>42</v>
      </c>
      <c r="B7" s="6">
        <v>41428.571428571428</v>
      </c>
      <c r="C7" s="6">
        <v>33846.153846153844</v>
      </c>
      <c r="D7" s="6">
        <v>36500</v>
      </c>
    </row>
    <row r="12" spans="1:4" x14ac:dyDescent="0.25">
      <c r="D12" s="5"/>
    </row>
    <row r="20" spans="1:4" x14ac:dyDescent="0.25">
      <c r="A20" s="3" t="s">
        <v>45</v>
      </c>
      <c r="B20" s="3" t="s">
        <v>44</v>
      </c>
    </row>
    <row r="21" spans="1:4" x14ac:dyDescent="0.25">
      <c r="A21" s="3" t="s">
        <v>41</v>
      </c>
      <c r="B21" t="s">
        <v>18</v>
      </c>
      <c r="C21" t="s">
        <v>15</v>
      </c>
      <c r="D21" t="s">
        <v>42</v>
      </c>
    </row>
    <row r="22" spans="1:4" x14ac:dyDescent="0.25">
      <c r="A22" s="4" t="s">
        <v>16</v>
      </c>
      <c r="B22" s="7">
        <v>3</v>
      </c>
      <c r="C22" s="7">
        <v>11</v>
      </c>
      <c r="D22" s="7">
        <v>14</v>
      </c>
    </row>
    <row r="23" spans="1:4" x14ac:dyDescent="0.25">
      <c r="A23" s="4" t="s">
        <v>26</v>
      </c>
      <c r="B23" s="7">
        <v>1</v>
      </c>
      <c r="C23" s="7">
        <v>2</v>
      </c>
      <c r="D23" s="7">
        <v>3</v>
      </c>
    </row>
    <row r="24" spans="1:4" x14ac:dyDescent="0.25">
      <c r="A24" s="4" t="s">
        <v>22</v>
      </c>
      <c r="B24" s="7">
        <v>1</v>
      </c>
      <c r="C24" s="7"/>
      <c r="D24" s="7">
        <v>1</v>
      </c>
    </row>
    <row r="25" spans="1:4" x14ac:dyDescent="0.25">
      <c r="A25" s="4" t="s">
        <v>46</v>
      </c>
      <c r="B25" s="7">
        <v>2</v>
      </c>
      <c r="C25" s="7"/>
      <c r="D25" s="7">
        <v>2</v>
      </c>
    </row>
    <row r="26" spans="1:4" x14ac:dyDescent="0.25">
      <c r="A26" s="4" t="s">
        <v>42</v>
      </c>
      <c r="B26" s="7">
        <v>7</v>
      </c>
      <c r="C26" s="7">
        <v>13</v>
      </c>
      <c r="D26" s="7">
        <v>20</v>
      </c>
    </row>
    <row r="41" spans="1:4" x14ac:dyDescent="0.25">
      <c r="A41" s="3" t="s">
        <v>45</v>
      </c>
      <c r="B41" s="3" t="s">
        <v>44</v>
      </c>
    </row>
    <row r="42" spans="1:4" x14ac:dyDescent="0.25">
      <c r="A42" s="3" t="s">
        <v>41</v>
      </c>
      <c r="B42" t="s">
        <v>18</v>
      </c>
      <c r="C42" t="s">
        <v>15</v>
      </c>
      <c r="D42" t="s">
        <v>42</v>
      </c>
    </row>
    <row r="43" spans="1:4" x14ac:dyDescent="0.25">
      <c r="A43" s="4" t="s">
        <v>47</v>
      </c>
      <c r="B43" s="7">
        <v>2</v>
      </c>
      <c r="C43" s="7">
        <v>12</v>
      </c>
      <c r="D43" s="7">
        <v>14</v>
      </c>
    </row>
    <row r="44" spans="1:4" x14ac:dyDescent="0.25">
      <c r="A44" s="4" t="s">
        <v>48</v>
      </c>
      <c r="B44" s="7">
        <v>5</v>
      </c>
      <c r="C44" s="7">
        <v>1</v>
      </c>
      <c r="D44" s="7">
        <v>6</v>
      </c>
    </row>
    <row r="45" spans="1:4" x14ac:dyDescent="0.25">
      <c r="A45" s="4" t="s">
        <v>42</v>
      </c>
      <c r="B45" s="7">
        <v>7</v>
      </c>
      <c r="C45" s="7">
        <v>13</v>
      </c>
      <c r="D45" s="7">
        <v>20</v>
      </c>
    </row>
    <row r="58" spans="1:4" x14ac:dyDescent="0.25">
      <c r="A58" s="3" t="s">
        <v>45</v>
      </c>
      <c r="B58" s="3" t="s">
        <v>44</v>
      </c>
    </row>
    <row r="59" spans="1:4" x14ac:dyDescent="0.25">
      <c r="A59" s="3" t="s">
        <v>41</v>
      </c>
      <c r="B59" t="s">
        <v>18</v>
      </c>
      <c r="C59" t="s">
        <v>15</v>
      </c>
      <c r="D59" t="s">
        <v>42</v>
      </c>
    </row>
    <row r="60" spans="1:4" x14ac:dyDescent="0.25">
      <c r="A60" s="4">
        <v>36</v>
      </c>
      <c r="B60" s="7"/>
      <c r="C60" s="7">
        <v>1</v>
      </c>
      <c r="D60" s="7">
        <v>1</v>
      </c>
    </row>
    <row r="61" spans="1:4" x14ac:dyDescent="0.25">
      <c r="A61" s="4">
        <v>37</v>
      </c>
      <c r="B61" s="7"/>
      <c r="C61" s="7">
        <v>1</v>
      </c>
      <c r="D61" s="7">
        <v>1</v>
      </c>
    </row>
    <row r="62" spans="1:4" x14ac:dyDescent="0.25">
      <c r="A62" s="4">
        <v>38</v>
      </c>
      <c r="B62" s="7"/>
      <c r="C62" s="7">
        <v>3</v>
      </c>
      <c r="D62" s="7">
        <v>3</v>
      </c>
    </row>
    <row r="63" spans="1:4" x14ac:dyDescent="0.25">
      <c r="A63" s="4">
        <v>39</v>
      </c>
      <c r="B63" s="7">
        <v>1</v>
      </c>
      <c r="C63" s="7">
        <v>4</v>
      </c>
      <c r="D63" s="7">
        <v>5</v>
      </c>
    </row>
    <row r="64" spans="1:4" x14ac:dyDescent="0.25">
      <c r="A64" s="4">
        <v>40</v>
      </c>
      <c r="B64" s="7"/>
      <c r="C64" s="7">
        <v>1</v>
      </c>
      <c r="D64" s="7">
        <v>1</v>
      </c>
    </row>
    <row r="65" spans="1:4" x14ac:dyDescent="0.25">
      <c r="A65" s="4">
        <v>46</v>
      </c>
      <c r="B65" s="7"/>
      <c r="C65" s="7">
        <v>1</v>
      </c>
      <c r="D65" s="7">
        <v>1</v>
      </c>
    </row>
    <row r="66" spans="1:4" x14ac:dyDescent="0.25">
      <c r="A66" s="4">
        <v>47</v>
      </c>
      <c r="B66" s="7"/>
      <c r="C66" s="7">
        <v>1</v>
      </c>
      <c r="D66" s="7">
        <v>1</v>
      </c>
    </row>
    <row r="67" spans="1:4" x14ac:dyDescent="0.25">
      <c r="A67" s="4">
        <v>48</v>
      </c>
      <c r="B67" s="7">
        <v>1</v>
      </c>
      <c r="C67" s="7"/>
      <c r="D67" s="7">
        <v>1</v>
      </c>
    </row>
    <row r="68" spans="1:4" x14ac:dyDescent="0.25">
      <c r="A68" s="4">
        <v>51</v>
      </c>
      <c r="B68" s="7">
        <v>1</v>
      </c>
      <c r="C68" s="7"/>
      <c r="D68" s="7">
        <v>1</v>
      </c>
    </row>
    <row r="69" spans="1:4" x14ac:dyDescent="0.25">
      <c r="A69" s="4">
        <v>53</v>
      </c>
      <c r="B69" s="7">
        <v>1</v>
      </c>
      <c r="C69" s="7"/>
      <c r="D69" s="7">
        <v>1</v>
      </c>
    </row>
    <row r="70" spans="1:4" x14ac:dyDescent="0.25">
      <c r="A70" s="4">
        <v>62</v>
      </c>
      <c r="B70" s="7">
        <v>1</v>
      </c>
      <c r="C70" s="7">
        <v>1</v>
      </c>
      <c r="D70" s="7">
        <v>2</v>
      </c>
    </row>
    <row r="71" spans="1:4" x14ac:dyDescent="0.25">
      <c r="A71" s="4">
        <v>63</v>
      </c>
      <c r="B71" s="7">
        <v>1</v>
      </c>
      <c r="C71" s="7"/>
      <c r="D71" s="7">
        <v>1</v>
      </c>
    </row>
    <row r="72" spans="1:4" x14ac:dyDescent="0.25">
      <c r="A72" s="4">
        <v>68</v>
      </c>
      <c r="B72" s="7">
        <v>1</v>
      </c>
      <c r="C72" s="7"/>
      <c r="D72" s="7">
        <v>1</v>
      </c>
    </row>
    <row r="73" spans="1:4" x14ac:dyDescent="0.25">
      <c r="A73" s="4" t="s">
        <v>42</v>
      </c>
      <c r="B73" s="7">
        <v>7</v>
      </c>
      <c r="C73" s="7">
        <v>13</v>
      </c>
      <c r="D73" s="7">
        <v>20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3D2CE-393E-43AB-B544-86F429A3F624}">
  <dimension ref="A1:O6"/>
  <sheetViews>
    <sheetView showGridLines="0" tabSelected="1" zoomScale="55" zoomScaleNormal="55" workbookViewId="0">
      <selection activeCell="T17" sqref="T17"/>
    </sheetView>
  </sheetViews>
  <sheetFormatPr defaultRowHeight="15" x14ac:dyDescent="0.25"/>
  <sheetData>
    <row r="1" spans="1:15" ht="15" customHeight="1" x14ac:dyDescent="0.25">
      <c r="A1" s="8" t="s">
        <v>49</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Shaikh Yaseen</cp:lastModifiedBy>
  <dcterms:created xsi:type="dcterms:W3CDTF">2022-03-18T02:50:57Z</dcterms:created>
  <dcterms:modified xsi:type="dcterms:W3CDTF">2025-09-06T20:17:11Z</dcterms:modified>
</cp:coreProperties>
</file>